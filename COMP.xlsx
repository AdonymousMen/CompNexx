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COMPARTIDO\COMPARADOR\"/>
    </mc:Choice>
  </mc:AlternateContent>
  <xr:revisionPtr revIDLastSave="0" documentId="13_ncr:1_{274214C9-2FE1-4E9D-BF68-05B1FD0C6D15}" xr6:coauthVersionLast="47" xr6:coauthVersionMax="47" xr10:uidLastSave="{00000000-0000-0000-0000-000000000000}"/>
  <bookViews>
    <workbookView xWindow="-120" yWindow="-120" windowWidth="24240" windowHeight="13140" activeTab="1" xr2:uid="{8A7EED44-085A-4DEB-BD58-A043D06AE3A9}"/>
  </bookViews>
  <sheets>
    <sheet name="COMPARADOR" sheetId="9" r:id="rId1"/>
    <sheet name="Caracteristicas" sheetId="7" r:id="rId2"/>
    <sheet name="CAM" sheetId="8" r:id="rId3"/>
    <sheet name="Imagen" sheetId="1" r:id="rId4"/>
    <sheet name="Imagen (2)" sheetId="10" state="hidden" r:id="rId5"/>
    <sheet name="Precio" sheetId="6" state="hidden" r:id="rId6"/>
    <sheet name="Hoja3" sheetId="3" state="hidden" r:id="rId7"/>
    <sheet name="link" sheetId="5" state="hidden" r:id="rId8"/>
  </sheets>
  <definedNames>
    <definedName name="_xlnm._FilterDatabase" localSheetId="1" hidden="1">Caracteristicas!$A$1:$W$60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7" l="1"/>
  <c r="C40" i="7"/>
  <c r="B41" i="7"/>
  <c r="C41" i="7"/>
  <c r="B42" i="7"/>
  <c r="C42" i="7"/>
  <c r="B44" i="7"/>
  <c r="C44" i="7"/>
  <c r="B16" i="7"/>
  <c r="C16" i="7"/>
  <c r="B62" i="7"/>
  <c r="C62" i="7"/>
  <c r="B63" i="7"/>
  <c r="C63" i="7"/>
  <c r="B24" i="7"/>
  <c r="C24" i="7"/>
  <c r="B37" i="7"/>
  <c r="C37" i="7"/>
  <c r="B38" i="7"/>
  <c r="C38" i="7"/>
  <c r="B39" i="7"/>
  <c r="C39" i="7"/>
  <c r="B20" i="7" l="1"/>
  <c r="C20" i="7"/>
  <c r="B22" i="7" l="1"/>
  <c r="C22" i="7"/>
  <c r="C3" i="7" l="1"/>
  <c r="B3" i="7"/>
  <c r="B49" i="7" l="1"/>
  <c r="C49" i="7"/>
  <c r="B61" i="7"/>
  <c r="C61" i="7"/>
  <c r="B48" i="7"/>
  <c r="C48" i="7"/>
  <c r="B47" i="7"/>
  <c r="C47" i="7"/>
  <c r="B28" i="7"/>
  <c r="C28" i="7"/>
  <c r="B9" i="7"/>
  <c r="C9" i="7"/>
  <c r="C6" i="7"/>
  <c r="B6" i="7"/>
  <c r="B46" i="7"/>
  <c r="C46" i="7"/>
  <c r="B18" i="7"/>
  <c r="C18" i="7"/>
  <c r="C56" i="7"/>
  <c r="B56" i="7"/>
  <c r="C29" i="7"/>
  <c r="B29" i="7"/>
  <c r="B15" i="7"/>
  <c r="C15" i="7"/>
  <c r="B14" i="7"/>
  <c r="C14" i="7"/>
  <c r="B13" i="7"/>
  <c r="C13" i="7"/>
  <c r="B33" i="7"/>
  <c r="C33" i="7"/>
  <c r="C10" i="7" l="1"/>
  <c r="B10" i="7"/>
  <c r="C43" i="7"/>
  <c r="B43" i="7"/>
  <c r="C52" i="7"/>
  <c r="C53" i="7"/>
  <c r="C54" i="7"/>
  <c r="B52" i="7"/>
  <c r="B53" i="7"/>
  <c r="B54" i="7"/>
  <c r="B25" i="7" l="1"/>
  <c r="B26" i="7"/>
  <c r="B27" i="7"/>
  <c r="B30" i="7"/>
  <c r="B4" i="7"/>
  <c r="B5" i="7"/>
  <c r="B7" i="7"/>
  <c r="B8" i="7"/>
  <c r="B11" i="7"/>
  <c r="B12" i="7"/>
  <c r="B17" i="7"/>
  <c r="B19" i="7"/>
  <c r="B21" i="7"/>
  <c r="B23" i="7"/>
  <c r="C27" i="7"/>
  <c r="C23" i="7"/>
  <c r="C32" i="7"/>
  <c r="B32" i="7"/>
  <c r="C45" i="7" l="1"/>
  <c r="B45" i="7"/>
  <c r="C8" i="7"/>
  <c r="C4" i="7"/>
  <c r="C5" i="7"/>
  <c r="C7" i="7"/>
  <c r="C11" i="7"/>
  <c r="C12" i="7"/>
  <c r="C17" i="7"/>
  <c r="C19" i="7"/>
  <c r="C21" i="7"/>
  <c r="C25" i="7"/>
  <c r="C26" i="7"/>
  <c r="C30" i="7"/>
  <c r="C31" i="7"/>
  <c r="C34" i="7"/>
  <c r="C35" i="7"/>
  <c r="C36" i="7"/>
  <c r="C50" i="7"/>
  <c r="C51" i="7"/>
  <c r="C55" i="7"/>
  <c r="C57" i="7"/>
  <c r="C58" i="7"/>
  <c r="C59" i="7"/>
  <c r="C60" i="7"/>
  <c r="C2" i="7"/>
  <c r="B31" i="7"/>
  <c r="B34" i="7"/>
  <c r="B35" i="7"/>
  <c r="B36" i="7"/>
  <c r="B50" i="7"/>
  <c r="B51" i="7"/>
  <c r="B55" i="7"/>
  <c r="B57" i="7"/>
  <c r="B58" i="7"/>
  <c r="B59" i="7"/>
  <c r="B60" i="7"/>
  <c r="B2" i="7"/>
  <c r="C9" i="9"/>
  <c r="C18" i="9" s="1" a="1"/>
  <c r="C18" i="9" s="1"/>
  <c r="D9" i="9"/>
  <c r="B9" i="9"/>
  <c r="B17" i="9" s="1" a="1"/>
  <c r="B17" i="9" s="1"/>
  <c r="D12" i="9" l="1" a="1"/>
  <c r="D12" i="9" s="1"/>
  <c r="B11" i="9" a="1"/>
  <c r="B11" i="9" s="1"/>
  <c r="B12" i="9" a="1"/>
  <c r="B12" i="9" s="1"/>
  <c r="B16" i="9" a="1"/>
  <c r="B16" i="9" s="1"/>
  <c r="B15" i="9" a="1"/>
  <c r="B15" i="9" s="1"/>
  <c r="B14" i="9" a="1"/>
  <c r="B14" i="9" s="1"/>
  <c r="B13" i="9" a="1"/>
  <c r="B13" i="9" s="1"/>
  <c r="B29" i="9" a="1"/>
  <c r="B29" i="9" s="1"/>
  <c r="B28" i="9" a="1"/>
  <c r="B28" i="9" s="1"/>
  <c r="D17" i="9" a="1"/>
  <c r="D17" i="9" s="1"/>
  <c r="B18" i="9" a="1"/>
  <c r="B18" i="9" s="1"/>
  <c r="D25" i="9" a="1"/>
  <c r="D25" i="9" s="1"/>
  <c r="D13" i="9" a="1"/>
  <c r="D13" i="9" s="1"/>
  <c r="D15" i="9" a="1"/>
  <c r="D15" i="9" s="1"/>
  <c r="B27" i="9" a="1"/>
  <c r="B27" i="9" s="1"/>
  <c r="B26" i="9" a="1"/>
  <c r="B26" i="9" s="1"/>
  <c r="B25" i="9" a="1"/>
  <c r="B25" i="9" s="1"/>
  <c r="B24" i="9" a="1"/>
  <c r="B24" i="9" s="1"/>
  <c r="B23" i="9" a="1"/>
  <c r="B23" i="9" s="1"/>
  <c r="B22" i="9" a="1"/>
  <c r="B22" i="9" s="1"/>
  <c r="B21" i="9" a="1"/>
  <c r="B21" i="9" s="1"/>
  <c r="B20" i="9" a="1"/>
  <c r="B20" i="9" s="1"/>
  <c r="B19" i="9" a="1"/>
  <c r="B19" i="9" s="1"/>
  <c r="D28" i="9" a="1"/>
  <c r="D28" i="9" s="1"/>
  <c r="D19" i="9" a="1"/>
  <c r="D19" i="9" s="1"/>
  <c r="D27" i="9" a="1"/>
  <c r="D27" i="9" s="1"/>
  <c r="D26" i="9" a="1"/>
  <c r="D26" i="9" s="1"/>
  <c r="D18" i="9" a="1"/>
  <c r="D18" i="9" s="1"/>
  <c r="D16" i="9" a="1"/>
  <c r="D16" i="9" s="1"/>
  <c r="D23" i="9" a="1"/>
  <c r="D23" i="9" s="1"/>
  <c r="D22" i="9" a="1"/>
  <c r="D22" i="9" s="1"/>
  <c r="D14" i="9" a="1"/>
  <c r="D14" i="9" s="1"/>
  <c r="D24" i="9" a="1"/>
  <c r="D24" i="9" s="1"/>
  <c r="D11" i="9" a="1"/>
  <c r="D11" i="9" s="1"/>
  <c r="D21" i="9" a="1"/>
  <c r="D21" i="9" s="1"/>
  <c r="D20" i="9" a="1"/>
  <c r="D20" i="9" s="1"/>
  <c r="D29" i="9" a="1"/>
  <c r="D29" i="9" s="1"/>
  <c r="C25" i="9" a="1"/>
  <c r="C25" i="9" s="1"/>
  <c r="C22" i="9" a="1"/>
  <c r="C22" i="9" s="1"/>
  <c r="C26" i="9" a="1"/>
  <c r="C26" i="9" s="1"/>
  <c r="C17" i="9" a="1"/>
  <c r="C17" i="9" s="1"/>
  <c r="C16" i="9" a="1"/>
  <c r="C16" i="9" s="1"/>
  <c r="C24" i="9" a="1"/>
  <c r="C24" i="9" s="1"/>
  <c r="C15" i="9" a="1"/>
  <c r="C15" i="9" s="1"/>
  <c r="C23" i="9" a="1"/>
  <c r="C23" i="9" s="1"/>
  <c r="C14" i="9" a="1"/>
  <c r="C14" i="9" s="1"/>
  <c r="C13" i="9" a="1"/>
  <c r="C13" i="9" s="1"/>
  <c r="C12" i="9" a="1"/>
  <c r="C12" i="9" s="1"/>
  <c r="C11" i="9" a="1"/>
  <c r="C11" i="9" s="1"/>
  <c r="C21" i="9" a="1"/>
  <c r="C21" i="9" s="1"/>
  <c r="C29" i="9" a="1"/>
  <c r="C29" i="9" s="1"/>
  <c r="C28" i="9" a="1"/>
  <c r="C28" i="9" s="1"/>
  <c r="C20" i="9" a="1"/>
  <c r="C20" i="9" s="1"/>
  <c r="C27" i="9" a="1"/>
  <c r="C27" i="9" s="1"/>
  <c r="C19" i="9" a="1"/>
  <c r="C19" i="9" s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3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<sst xmlns="http://schemas.openxmlformats.org/spreadsheetml/2006/main" count="2049" uniqueCount="868">
  <si>
    <t>EQUIPO</t>
  </si>
  <si>
    <t>RAM</t>
  </si>
  <si>
    <t>💾 Almacenamiento</t>
  </si>
  <si>
    <t>📸 Cámara Principal</t>
  </si>
  <si>
    <t>📐 Cámara Ultra Gran Angular</t>
  </si>
  <si>
    <t>🔭 Cámara Teleobjetivo</t>
  </si>
  <si>
    <t>🔍 Cámara Macro</t>
  </si>
  <si>
    <t>📱 Pantalla</t>
  </si>
  <si>
    <t>📹 Estabilización Óptica</t>
  </si>
  <si>
    <t>🎥 Grabación de Video</t>
  </si>
  <si>
    <t>🤳 Cámara Frontal</t>
  </si>
  <si>
    <t>🔋 Batería</t>
  </si>
  <si>
    <t>⚡ Carga Rápida</t>
  </si>
  <si>
    <t>🔌 Carga Inalámbrica</t>
  </si>
  <si>
    <t>📶 Bluetooth</t>
  </si>
  <si>
    <t>💧 Resistencia al Agua</t>
  </si>
  <si>
    <t>⚖️ Peso</t>
  </si>
  <si>
    <t>IP54</t>
  </si>
  <si>
    <t>256GB</t>
  </si>
  <si>
    <t>-</t>
  </si>
  <si>
    <t>NO</t>
  </si>
  <si>
    <t>IP64</t>
  </si>
  <si>
    <t>HONOR MAGIC 7 LITE 512GB</t>
  </si>
  <si>
    <t>HONOR X5B 128GB</t>
  </si>
  <si>
    <t>HONOR X6C 256GB</t>
  </si>
  <si>
    <t>HONOR X7C 256GB</t>
  </si>
  <si>
    <t>HONOR X8C 256GB</t>
  </si>
  <si>
    <t>IPHONE 13 128GB</t>
  </si>
  <si>
    <t>MOTOROLA G05 128GB</t>
  </si>
  <si>
    <t>MOTOROLA G15 256GB</t>
  </si>
  <si>
    <t>MOTOROLA G56 256GB</t>
  </si>
  <si>
    <t>OPPO A5 5G 256GB</t>
  </si>
  <si>
    <t>OPPO A5 PRO 256GB</t>
  </si>
  <si>
    <t>OPPO RENO 14F 256GB 5G</t>
  </si>
  <si>
    <t>SAMSUNG GXY A06 128GB</t>
  </si>
  <si>
    <t>SAMSUNG GXY A16 128GB 4G</t>
  </si>
  <si>
    <t>SAMSUNG GXY A26 128GB 5G</t>
  </si>
  <si>
    <t>SAMSUNG GXY A36 128GB 5G</t>
  </si>
  <si>
    <t>SAMSUNG GXY A56 256G 5G</t>
  </si>
  <si>
    <t>XIAOMI REDMI NOTE 14 256GB</t>
  </si>
  <si>
    <t>XIAOMI REDMI NOTE 14 PRO 256GB 4G</t>
  </si>
  <si>
    <t>ZTE BLADE A35 64GB</t>
  </si>
  <si>
    <t>ZTE BLADE A55 128GB</t>
  </si>
  <si>
    <t>ZTE BLADE A56 PRO 128GB</t>
  </si>
  <si>
    <t>ZTE BLADE V70 256GB</t>
  </si>
  <si>
    <t>ZTE BLADE V70 MAX 256GB</t>
  </si>
  <si>
    <t>IMAGEN PARTE DELANTERA</t>
  </si>
  <si>
    <t>IMAGEN PARTE TRASERA</t>
  </si>
  <si>
    <t>https://i.ebayimg.com/images/g/enIAAOSwflhn92xU/s-l1600.webp</t>
  </si>
  <si>
    <t>https://i.ebayimg.com/images/g/dPcAAOSwbGpn92xU/s-l1600.webp</t>
  </si>
  <si>
    <t>https://i.ebayimg.com/images/g/vOkAAOSwgkBnhgYQ/s-l1600.webp</t>
  </si>
  <si>
    <t>https://i.ebayimg.com/images/g/87cAAOSwD1NnhgYT/s-l1600.webp</t>
  </si>
  <si>
    <t>https://covercompany.com.uy/cdn/shop/files/2-5934_14201_4.jpg?v=1732820170</t>
  </si>
  <si>
    <t>https://covercompany.com.uy/cdn/shop/files/2-5934_14201_3.jpg?v=1732819982</t>
  </si>
  <si>
    <t>https://www.peru-smart.com/wp-content/uploads/2025/07/CELU1107AZUL-256GB_1.jpg</t>
  </si>
  <si>
    <t>https://www.peru-smart.com/wp-content/uploads/2025/07/CELU1107AZUL-256GB_0.jpg</t>
  </si>
  <si>
    <t>https://webstoreshops.com/cdn/shop/files/HONOR_X7C_White-3.jpg?v=1737559775&amp;width=800</t>
  </si>
  <si>
    <t>https://webstoreshops.com/cdn/shop/files/HONOR_X7C_White-2.jpg?v=1737559961&amp;width=800</t>
  </si>
  <si>
    <t>https://rimage.ripley.com.pe/home.ripley/Attachment/MKP/3539/PMP20000745981/full_image-1.jpeg</t>
  </si>
  <si>
    <t>https://soytechno.com/wp-content/uploads/2025/05/HONOR-X8C-ABR-LX3-CLOUD-PURPLE-3.jpg</t>
  </si>
  <si>
    <t>https://inverfin.com.py/cdn/shop/files/99991627492109_TEL.IPH.13.128.BLA_1.jpg?v=1725987794&amp;width=823</t>
  </si>
  <si>
    <t>https://me-tiendamexpress.s3.us-east-1.amazonaws.com/images/thumbs/0059161_celular-apple-iphone-13-128gb-blanco_600.jpeg</t>
  </si>
  <si>
    <t>https://m.media-amazon.com/images/I/71OVsSh822L._AC_SX569_.jpg</t>
  </si>
  <si>
    <t>https://m.media-amazon.com/images/I/81RrrX8vpIL._AC_SX569_.jpg</t>
  </si>
  <si>
    <t>https://m.media-amazon.com/images/I/51daXYKSyOL._AC_SX679_.jpg</t>
  </si>
  <si>
    <t>https://m.media-amazon.com/images/I/619G60+TY-L._AC_SX679_.jpg</t>
  </si>
  <si>
    <t>https://bsimg.nl/images/motorola-moto-g56-5g-8gb-256gb-groen_1.png/n-s3tDVQ3aeoNxKSrJEA0et3_G8%3D/fit-in/771x1200/filters%3Aformat%28webp%29%3Aupscale%28%29</t>
  </si>
  <si>
    <t>https://bsimg.nl/images/motorola-moto-g56-5g-8gb-256gb-groen_2.png/kGRkER2wCFObuCEv4y-YAoPdVnc%3D/fit-in/771x1200/filters%3Aformat%28webp%29%3Aupscale%28%29</t>
  </si>
  <si>
    <t>https://www.ispotaba.com/wp-content/uploads/2025/07/Oppo-A5-Mist-White-Back.jpg</t>
  </si>
  <si>
    <t>https://www.maxmovil.com/media/catalog/product/cache/2c055c968235f5bf43b443aee4bb62c6/o/p/oppo_a5_5g_verde_2_.png</t>
  </si>
  <si>
    <t>https://www.maxmovil.com/media/catalog/product/cache/2c055c968235f5bf43b443aee4bb62c6/o/p/oppo_a5_pro_5g_verde_1_.png</t>
  </si>
  <si>
    <t>https://www.maxmovil.com/media/catalog/product/cache/2c055c968235f5bf43b443aee4bb62c6/o/p/oppo_a5_pro_5g_verde_4_.png</t>
  </si>
  <si>
    <t>https://www.maxmovil.com/media/catalog/product/cache/2c055c968235f5bf43b443aee4bb62c6/o/p/oppo_a5_4g_purpura_3_.png</t>
  </si>
  <si>
    <t>https://www.maxmovil.com/media/catalog/product/cache/2c055c968235f5bf43b443aee4bb62c6/o/p/oppo_a5_4g_purpura_4_.png</t>
  </si>
  <si>
    <t>https://www.ispotaba.com/wp-content/uploads/2025/08/OPPO-Reno14-F-5G-Blue-Green.jpg</t>
  </si>
  <si>
    <t>https://www.ispotaba.com/wp-content/uploads/2025/08/OPPO-Reno14-F-5G-Green-Fron-Screen.jpg</t>
  </si>
  <si>
    <t>https://tiendaonline.movistar.com.ar/media/catalog/product/cache/1d01ed3f1ecf95fcf479279f9ae509ad/s/a/samsung-a06-lightgreen-front_2.png</t>
  </si>
  <si>
    <t>https://images.samsung.com/is/image/samsung/p6pim/ar/sm-a065mzkearo/gallery/ar-galaxy-a06-sm-a065-sm-a065mzkearo-543428053?$Q90_684_547_JPG$</t>
  </si>
  <si>
    <t>https://image.coolblue.nl/max/700xauto/products/2118753</t>
  </si>
  <si>
    <t>https://image.coolblue.nl/max/700xauto/products/2118759</t>
  </si>
  <si>
    <t>https://image.coolblue.nl/max/700xauto/products/2144228</t>
  </si>
  <si>
    <t>https://image.coolblue.nl/max/700xauto/products/2144227</t>
  </si>
  <si>
    <t>https://image.coolblue.nl/max/700xauto/products/2144291</t>
  </si>
  <si>
    <t>https://image.coolblue.nl/max/700xauto/products/2144288</t>
  </si>
  <si>
    <t>https://image.coolblue.nl/max/700xauto/products/2144339</t>
  </si>
  <si>
    <t>https://image.coolblue.nl/max/700xauto/products/2144334</t>
  </si>
  <si>
    <t>https://image.coolblue.nl/max/700xauto/products/2131450</t>
  </si>
  <si>
    <t>https://image.coolblue.nl/max/700xauto/products/2131445</t>
  </si>
  <si>
    <t>https://image.coolblue.nl/max/700xauto/products/2131411</t>
  </si>
  <si>
    <t>https://image.coolblue.nl/max/700xauto/products/2131417</t>
  </si>
  <si>
    <t>https://www.pakmobizone.pk/wp-content/uploads/2024/11/ZTE-Blade-A35-Clover-Green-3-1024x1024.jpg</t>
  </si>
  <si>
    <t>https://www.pakmobizone.pk/wp-content/uploads/2024/11/ZTE-Blade-A35-Clover-Green-2-1024x1024.png</t>
  </si>
  <si>
    <t>https://compuciber.com/wp-content/uploads/2025/06/celular-zte-blade-a55-48-gb-128gb-colores-disponibles-negro-azul-3.jpg</t>
  </si>
  <si>
    <t>https://compuciber.com/wp-content/uploads/2025/06/celular-zte-blade-a55-48-gb-128gb-colores-disponibles-negro-azul-2.jpg</t>
  </si>
  <si>
    <t>https://miportal.entel.pe/static/081520251049044/images/Zte_Blade_A56_Pro_128GB_4G_Gris_Frontal_276x549.jpg</t>
  </si>
  <si>
    <t>https://miportal.entel.pe/static/081520251049044/images/Zte_Blade_A56_Pro_128GB_4G_Gris_Posterior_276x549.jpg</t>
  </si>
  <si>
    <t>https://www.efe.com.pe/media/catalog/product/z/t/ztev70d_8.jpg?quality=80&amp;bg-color=255,255,255&amp;fit=bounds&amp;height=&amp;width=&amp;canvas=:</t>
  </si>
  <si>
    <t>https://www.efe.com.pe/media/catalog/product/z/t/ztev70d_5.jpg?quality=80&amp;bg-color=255,255,255&amp;fit=bounds&amp;height=&amp;width=&amp;canvas=:</t>
  </si>
  <si>
    <t>6.78" AMOLED</t>
  </si>
  <si>
    <t>6.56" IPS LCD</t>
  </si>
  <si>
    <t>No</t>
  </si>
  <si>
    <t>🔄 Tasa de Refresco</t>
  </si>
  <si>
    <t>120Hz</t>
  </si>
  <si>
    <t>90Hz</t>
  </si>
  <si>
    <t>⚡ Procesador</t>
  </si>
  <si>
    <t>Snapdragon 6 Gen 1</t>
  </si>
  <si>
    <t>Unisoc Tiger T606</t>
  </si>
  <si>
    <t>🧠 RAM</t>
  </si>
  <si>
    <t>8GB</t>
  </si>
  <si>
    <t>4GB</t>
  </si>
  <si>
    <t>512GB</t>
  </si>
  <si>
    <t>128GB</t>
  </si>
  <si>
    <t>📷 Cámaras Traseras</t>
  </si>
  <si>
    <t>3 cámaras traseras</t>
  </si>
  <si>
    <t>1 cámara trasera</t>
  </si>
  <si>
    <t>2 cámaras traseras</t>
  </si>
  <si>
    <t>108MP Principal</t>
  </si>
  <si>
    <t>50MP Principal</t>
  </si>
  <si>
    <t>5MP Ultra Gran Angular</t>
  </si>
  <si>
    <t>2MP Profundidad</t>
  </si>
  <si>
    <t>2MP Macro</t>
  </si>
  <si>
    <t>Sí</t>
  </si>
  <si>
    <t>4K a 30fps</t>
  </si>
  <si>
    <t>1080p a 30fps</t>
  </si>
  <si>
    <t>16MP</t>
  </si>
  <si>
    <t>5MP</t>
  </si>
  <si>
    <t>6600 mAh</t>
  </si>
  <si>
    <t>5200 mAh</t>
  </si>
  <si>
    <t>66W con cable</t>
  </si>
  <si>
    <t>22.5W con cable</t>
  </si>
  <si>
    <t>Bluetooth 5.1</t>
  </si>
  <si>
    <t>Bluetooth 5.0</t>
  </si>
  <si>
    <t>🖥️ Sistema Operativo</t>
  </si>
  <si>
    <t>MagicOS 8.0 (Android 14)</t>
  </si>
  <si>
    <t>189g</t>
  </si>
  <si>
    <t>192g</t>
  </si>
  <si>
    <t>194g</t>
  </si>
  <si>
    <t>CATALOGO DE EQUIPOS</t>
  </si>
  <si>
    <t>LAS ESPECIFICACIONES COMO EL PROCESADOR, BATERIA, RESISTENCIA, PANTALLA, ETC.
REVISA DESDE EL FONDO.
IPHONE 13
https://www.kimovil.com/es/donde-comprar-apple-iphone-13
HONOR X5B
https://www.kimovil.com/es/donde-comprar-honor-x5b
HONOR X6C
https://www.kimovil.com/es/donde-comprar-honor-x6b
HONOR X7C
https://www.honor.com/mx/phones/honor-7c/spec/
HONOR X8C
https://www.kimovil.com/es/donde-comprar-honor-x8c
MOTO G05
https://www.kimovil.com/es/donde-comprar-motorola-moto-g05
MOTO G15
https://www.kimovil.com/es/donde-comprar-motorola-moto-g15
MOTO G56
https://www.kimovil.com/es/donde-comprar-motorola-moto-g56-5g
OPPO A5 PRO
https://www.kimovil.com/es/donde-comprar-oppo-a5-pro-5g
RENO 14F
https://www.kimovil.com/es/donde-comprar-oppo-reno14-f
SAMSUNG A06
https://www.kimovil.com/es/donde-comprar-samsung-galaxy-a06
SAMSUNG A16
https://www.kimovil.com/es/donde-comprar-samsung-galaxy-a16-4g
SAMSUNG A26
https://www.kimovil.com/es/donde-comprar-samsung-galaxy-a26-5g
SAMSUNG A36
https://www.kimovil.com/es/donde-comprar-samsung-galaxy-a36
SAMSUNG A56
https://www.kimovil.com/es/donde-comprar-samsung-galaxy-a56
XIAOMI REDMI NOTE 14
https://www.kimovil.com/es/donde-comprar-xiaomi-redmi-note-14
XIAOMI REDMI NOTE 14 PRO 4G
https://www.kimovil.com/es/donde-comprar-xiaomi-redmi-note-14-pro-4g
ZTE BLADE A35
https://www.kimovil.com/es/donde-comprar-zte-blade-a35
ZTE BLADE A55
https://www.kimovil.com/es/donde-comprar-zte-blade-a55
ZTE BLADE A56 PRO
https://miportal.entel.pe/personas/producto/equipos/zte-blade-a56-pro/prod940041
ZTE BLADE V70
https://www.ztedevices.com/en/products/smartphones/blade/zte-blade-v70.html
ZTE BLADE V70 VITA
https://www.kimovil.com/es/donde-comprar-zte-blade-v70-vita</t>
  </si>
  <si>
    <t>FINANCIADO</t>
  </si>
  <si>
    <t xml:space="preserve">OPPO A5 4G 256GB </t>
  </si>
  <si>
    <t>PRECIO AL CONTADO</t>
  </si>
  <si>
    <t>CUOTA X 12 MESES</t>
  </si>
  <si>
    <t>En precio, quiero que vaya dos segmentos: Contado y cuota x 12 meses. Tambien cuando el mouse pase por la imagen diga algo como "haz click para voltear la imagen".</t>
  </si>
  <si>
    <t>Pantalla</t>
  </si>
  <si>
    <t>Resistencia</t>
  </si>
  <si>
    <t>Procesador</t>
  </si>
  <si>
    <t>Almacenamiento</t>
  </si>
  <si>
    <t>Cámaras</t>
  </si>
  <si>
    <t xml:space="preserve">Estabilización Óptica	</t>
  </si>
  <si>
    <t>Grabación de Video</t>
  </si>
  <si>
    <t>Cámara Frontal</t>
  </si>
  <si>
    <t>Batería</t>
  </si>
  <si>
    <t>Carga Rápida</t>
  </si>
  <si>
    <t>Carga Inalámbrica</t>
  </si>
  <si>
    <t xml:space="preserve">Bluetooth	</t>
  </si>
  <si>
    <t>Peso</t>
  </si>
  <si>
    <t>CONTADO</t>
  </si>
  <si>
    <t>Cuota x 12 meses</t>
  </si>
  <si>
    <t>6.56", HD+, TFT LCD (IPS)</t>
  </si>
  <si>
    <t>6.78", QHD, AMOLED</t>
  </si>
  <si>
    <t>6.77", HD, LCD IPS</t>
  </si>
  <si>
    <t xml:space="preserve">189 g	</t>
  </si>
  <si>
    <t xml:space="preserve">194 g	</t>
  </si>
  <si>
    <t xml:space="preserve">199 g	</t>
  </si>
  <si>
    <t>196 g</t>
  </si>
  <si>
    <t xml:space="preserve">IP65	</t>
  </si>
  <si>
    <t xml:space="preserve">Tasa de Refresco	</t>
  </si>
  <si>
    <t>120 Hz</t>
  </si>
  <si>
    <t>90 Hz</t>
  </si>
  <si>
    <t>512 GB</t>
  </si>
  <si>
    <t>128 GB</t>
  </si>
  <si>
    <t>256 GB</t>
  </si>
  <si>
    <t>64 GB</t>
  </si>
  <si>
    <t>SI</t>
  </si>
  <si>
    <t>4K</t>
  </si>
  <si>
    <t>1080p@30fps</t>
  </si>
  <si>
    <t>108 Mpx (ƒ/ 1.75) + 5 Mpx UGA (ƒ/ 2.2)</t>
  </si>
  <si>
    <t>13 Mpx (ƒ/ 1.8) + 0.3 Mpx</t>
  </si>
  <si>
    <t>108 Mpx (ƒ/ 1.8) + 2 Mpx Retrato (ƒ/ 2.4)</t>
  </si>
  <si>
    <t>50 Mpx	(ƒ/ 1.8) + 2 Mpx	Retrato (ƒ/ 2.4)</t>
  </si>
  <si>
    <t xml:space="preserve">16 Mpx	</t>
  </si>
  <si>
    <t xml:space="preserve">5 Mpx	</t>
  </si>
  <si>
    <t>8 Mpx</t>
  </si>
  <si>
    <t>6000 mAh</t>
  </si>
  <si>
    <t>5300 mAh</t>
  </si>
  <si>
    <t xml:space="preserve">66.0W	</t>
  </si>
  <si>
    <t>10.0W</t>
  </si>
  <si>
    <t xml:space="preserve">35.0W	</t>
  </si>
  <si>
    <t>35.0W</t>
  </si>
  <si>
    <t>Helio G36 (12 nm)</t>
  </si>
  <si>
    <t>Helio G81 Ultra (12 nm)</t>
  </si>
  <si>
    <t>Snapdragon 685 (6 nm)</t>
  </si>
  <si>
    <t>Snapdragon 6 Gen1 (4 nm)</t>
  </si>
  <si>
    <t>Huella</t>
  </si>
  <si>
    <t>lateral</t>
  </si>
  <si>
    <t>Antutu</t>
  </si>
  <si>
    <t>174 g</t>
  </si>
  <si>
    <t>6.77", FHD+, AMOLED</t>
  </si>
  <si>
    <t>108 Mpx (ƒ/ 1.75) + 5 Mpx Retrato (ƒ/ 2.2)</t>
  </si>
  <si>
    <t>50 MP</t>
  </si>
  <si>
    <t>5000 mAh</t>
  </si>
  <si>
    <t>IP68</t>
  </si>
  <si>
    <t>6.1", FHD, Oled</t>
  </si>
  <si>
    <t>60 Hz</t>
  </si>
  <si>
    <t>12 Mpx (ƒ/ 1.6) + 12 Mpx UGA (ƒ/ 2.4)</t>
  </si>
  <si>
    <t>12 Mpx</t>
  </si>
  <si>
    <t>20.0W</t>
  </si>
  <si>
    <t>3240 mAh</t>
  </si>
  <si>
    <t>6.72", HD+, LCD</t>
  </si>
  <si>
    <t>IP68, IP69K, MIL-STD-810H</t>
  </si>
  <si>
    <t>190 g</t>
  </si>
  <si>
    <t>200 g</t>
  </si>
  <si>
    <t>6.72", FHD+, LCD</t>
  </si>
  <si>
    <t>G81 Extreme (12 nm)</t>
  </si>
  <si>
    <t>Dimensity 7060 (6 nm)</t>
  </si>
  <si>
    <t>128 GB  eMMC 5.1</t>
  </si>
  <si>
    <t>256 GB  eMMC 5.1</t>
  </si>
  <si>
    <t>50 Mpx (ƒ/ 1.8) + 5 Mpx UGA (ƒ/ 2.4)</t>
  </si>
  <si>
    <t>50 Mpx (ƒ/ 1.88) + 8 Mpx UGA (ƒ/ 2.2)</t>
  </si>
  <si>
    <t xml:space="preserve">8 Mpx	</t>
  </si>
  <si>
    <t>32 Mpx</t>
  </si>
  <si>
    <t xml:space="preserve">18.0W	</t>
  </si>
  <si>
    <t>33.0W</t>
  </si>
  <si>
    <t>6.67", HD+, LCD IPS</t>
  </si>
  <si>
    <t>6.57", FHD+, AMOLED</t>
  </si>
  <si>
    <t xml:space="preserve">193 g	</t>
  </si>
  <si>
    <t>180 g</t>
  </si>
  <si>
    <t>IP65, MIL-STD-810H</t>
  </si>
  <si>
    <t>IP68, IP69K</t>
  </si>
  <si>
    <t>Dimensity 6300 (6 nm)</t>
  </si>
  <si>
    <t>Snapdragon 6s Gen1 (11 nm)</t>
  </si>
  <si>
    <t>256 GB UFS 2.1</t>
  </si>
  <si>
    <t>256 GB UFS 2.2</t>
  </si>
  <si>
    <t>256 GB UFS 3.1</t>
  </si>
  <si>
    <t>50 Mpx</t>
  </si>
  <si>
    <t>50 Mpx	(ƒ/ 1.8) + 2 Mpx	(ƒ/ 2.4)</t>
  </si>
  <si>
    <t>5800 mAh</t>
  </si>
  <si>
    <t xml:space="preserve">45.0W	</t>
  </si>
  <si>
    <t>6.7", HD+, PLS</t>
  </si>
  <si>
    <t>6.7", FHD+, Super AMOLED</t>
  </si>
  <si>
    <t xml:space="preserve">200 g	</t>
  </si>
  <si>
    <t>195 g</t>
  </si>
  <si>
    <t>IP67</t>
  </si>
  <si>
    <t>Helio G85 (12 nm)</t>
  </si>
  <si>
    <t>Helio G99 (6 nm)</t>
  </si>
  <si>
    <t>Exynos 1380 (5 nm)</t>
  </si>
  <si>
    <t>Snapdragon 6 Gen 3 (4 nm)</t>
  </si>
  <si>
    <t>128 GB eMMC 5.1</t>
  </si>
  <si>
    <t>128 GB UFS 2.2</t>
  </si>
  <si>
    <t>50 Mpx	(ƒ/ 1.8) + 2 Mpx	(ƒ/ 2.4) + 8 Mpx (ƒ/ 2.2)</t>
  </si>
  <si>
    <t>50 Mpx	(ƒ/ 1.8) + 5 Mpx	UGA (ƒ/ 2.2) + 2 Mpx (ƒ/ 2.4)</t>
  </si>
  <si>
    <t>50 Mpx	(ƒ/ 1.8) + 5 Mpx	UGA (ƒ/ 2.2) + 2 Mpx MACRO (ƒ/ 2.4)</t>
  </si>
  <si>
    <t>50 Mpx	(ƒ/ 1.8) + 8 Mpx	UGA (ƒ/ 2.2) + 8 Mpx MACRO (ƒ/ 2.4)</t>
  </si>
  <si>
    <t xml:space="preserve">13 Mpx	</t>
  </si>
  <si>
    <t>5 Mpx</t>
  </si>
  <si>
    <t xml:space="preserve">25.0W	</t>
  </si>
  <si>
    <t>45.0W</t>
  </si>
  <si>
    <t>6.67", FHD+, AMOLED</t>
  </si>
  <si>
    <t xml:space="preserve">197 g	</t>
  </si>
  <si>
    <t xml:space="preserve">196 g	</t>
  </si>
  <si>
    <t xml:space="preserve">IP54	</t>
  </si>
  <si>
    <t>Exynos 1580 (4 nm)</t>
  </si>
  <si>
    <t>Helio G99 Ultra (6 nm)</t>
  </si>
  <si>
    <t>Helio G100 Ultra (6 nm)</t>
  </si>
  <si>
    <t>50 Mpx	(ƒ/ 1.8) + 13 Mpx UGA (ƒ/ 2.2) + 5 Mpx MACRO (ƒ/ 2.4)</t>
  </si>
  <si>
    <t>200 Mpx (ƒ/ 1.65) + 8 Mpx UGA (ƒ/ 2.2) + 2 Mpx MACRO (ƒ/ 2.4)</t>
  </si>
  <si>
    <t>108 Mpx (ƒ/ 1.7) + 2 Mpx (ƒ/ 2.4) + 2 Mpx MACRO (ƒ/ 2.4)</t>
  </si>
  <si>
    <t>1080p@30/60fps</t>
  </si>
  <si>
    <t xml:space="preserve">12 Mpx	</t>
  </si>
  <si>
    <t xml:space="preserve">20 Mpx	</t>
  </si>
  <si>
    <t xml:space="preserve">5000 mAh	</t>
  </si>
  <si>
    <t xml:space="preserve">5500 mAh	</t>
  </si>
  <si>
    <t xml:space="preserve">33.0W	</t>
  </si>
  <si>
    <t xml:space="preserve">6.75", HD+, LCD IPS	</t>
  </si>
  <si>
    <t xml:space="preserve">6.75", FHD+, LCD IPS	</t>
  </si>
  <si>
    <t xml:space="preserve">192 g	</t>
  </si>
  <si>
    <t>185 g</t>
  </si>
  <si>
    <t>Unisoc SC9863A1 (22 nm)</t>
  </si>
  <si>
    <t xml:space="preserve">8 Mpx + 0.8 Mpx	</t>
  </si>
  <si>
    <t>13 Mpx + 1 Mpx</t>
  </si>
  <si>
    <t>50MP + 0.08MP</t>
  </si>
  <si>
    <t>8  Mpx</t>
  </si>
  <si>
    <t xml:space="preserve">6.9", HD+, LCD IPS	</t>
  </si>
  <si>
    <t xml:space="preserve">6.7", HD+, LCD IPS	</t>
  </si>
  <si>
    <t>Unisoc T606 (12 nm)</t>
  </si>
  <si>
    <t>108 Mpx (ƒ/ 1.8)</t>
  </si>
  <si>
    <t>22.5W</t>
  </si>
  <si>
    <t>Modelo</t>
  </si>
  <si>
    <t>Planes MT</t>
  </si>
  <si>
    <t>MT</t>
  </si>
  <si>
    <t>SAMSUNG GXY A12 SM-A127MZ LTE</t>
  </si>
  <si>
    <t>SAMSUNG GXY A32 SM-A325MZ LTE</t>
  </si>
  <si>
    <t>XIAOMI REDMI NOTE 10S LTE</t>
  </si>
  <si>
    <t>ZTE BLADE A5 2020 LTE</t>
  </si>
  <si>
    <t>ZTE BLADE A31 LTE</t>
  </si>
  <si>
    <t>ZTE BLADE A51 LTE</t>
  </si>
  <si>
    <t>ZTE BLADE A71 LTE</t>
  </si>
  <si>
    <t>SAMSUNG GXY A03 CORE SM-A032MZ LTE</t>
  </si>
  <si>
    <t>OPPO A16 64GB LTE</t>
  </si>
  <si>
    <t>SAMSUNG GXY A53 SM-A536M 5G</t>
  </si>
  <si>
    <t>SAMSUNG GXY A23 SM-A235M 128GB LTE</t>
  </si>
  <si>
    <t>ZTE BLADE A51 LITE 32GB LTE</t>
  </si>
  <si>
    <t>OPPO RENO 7 LTE</t>
  </si>
  <si>
    <t>SAMSUNG GXY A04 SM-A045M LTE</t>
  </si>
  <si>
    <t>OPPO A57 128GB LTE</t>
  </si>
  <si>
    <t>IPHONE 14 128GB</t>
  </si>
  <si>
    <t>VIVO Y22S LTE</t>
  </si>
  <si>
    <t>ZTE BLADE V40S 128GB LTE</t>
  </si>
  <si>
    <t>VIVO Y35 LTE</t>
  </si>
  <si>
    <t>SAMSUNG GXY S23 ULTRA 256GB SM-S918B 5G</t>
  </si>
  <si>
    <t>HONOR X8A CRT-LX3 LTE</t>
  </si>
  <si>
    <t>MOTOROLA E22i XT2239 64GB LTE</t>
  </si>
  <si>
    <t>SAMSUNG GXY A14 SM-A145M LTE</t>
  </si>
  <si>
    <t>MOTOROLA E13 XT2345 64GB LTE</t>
  </si>
  <si>
    <t>ZTE BLADE A31 PLUS LTE</t>
  </si>
  <si>
    <t>ZTE BLADE A53+ 64GB LTE</t>
  </si>
  <si>
    <t>SAMSUNG GXY A24 SM-A245M 128GB LTE</t>
  </si>
  <si>
    <t>MOTOROLA EDGE 40 XT2303 256GB 5G</t>
  </si>
  <si>
    <t>XIAOMI REDMI A2 64GB LTE</t>
  </si>
  <si>
    <t>OPPO A78 256GB LTE</t>
  </si>
  <si>
    <t>OPPO RENO 10 256GB 5G</t>
  </si>
  <si>
    <t>MOTOROLA G14 XT2341 128GB LTE</t>
  </si>
  <si>
    <t>OPPO A38 128GB LTE</t>
  </si>
  <si>
    <t>OPPO A58 128GB LTE</t>
  </si>
  <si>
    <t>MOTOROLA G54 XT2343 256GB 5G</t>
  </si>
  <si>
    <t>MOTOROLA G84 XT2347 256GB 5G</t>
  </si>
  <si>
    <t>VIVO V25E 256GB LTE</t>
  </si>
  <si>
    <t>IPHONE 15 128GB</t>
  </si>
  <si>
    <t>IPHONE 15 PRO MAX 256GB</t>
  </si>
  <si>
    <t>VIVO Y36 256GB LTE</t>
  </si>
  <si>
    <t>MOTOROLA EDGE 40 NEO XT2307 256GB 5G</t>
  </si>
  <si>
    <t>ZTE BLADE V50 VITA 256GB LTE</t>
  </si>
  <si>
    <t>ZTE AXON 50 256GB 5G</t>
  </si>
  <si>
    <t>ZTE BLADE V50 DESIGN 256GB LTE</t>
  </si>
  <si>
    <t>VIVO Y27 128GB LTE</t>
  </si>
  <si>
    <t>XIAOMI REDMI 13C 128GB LTE</t>
  </si>
  <si>
    <t>PACK6B - XIAOMI REDMI 12C</t>
  </si>
  <si>
    <t>PACK4A - MOTOROLA G54</t>
  </si>
  <si>
    <t>SAMSUNG GXY A05 SM-A055M 64GB LTE</t>
  </si>
  <si>
    <t>HONOR X6A WDY-LX3 128GB LTE</t>
  </si>
  <si>
    <t>HONOR X5 PLUS WOD-LX3 LTE</t>
  </si>
  <si>
    <t>HONOR X7B CLK-LX3 256GB LTE</t>
  </si>
  <si>
    <t>HONOR X8B LLY-LX3 256GB LTE</t>
  </si>
  <si>
    <t>SAMSUNG GXY S24 256GB SM-S921B 5G</t>
  </si>
  <si>
    <t>SAMSUNG GXY S24 PLUS 512GB SM-S926B 5G</t>
  </si>
  <si>
    <t>SAMSUNG GXY S24 ULTRA 512GB SM-S928B 5G</t>
  </si>
  <si>
    <t>XIAOMI REDMI NOTE 13 256GB LTE</t>
  </si>
  <si>
    <t>XIAOMI REDMI NOTE 13 PRO 256GB LTE</t>
  </si>
  <si>
    <t>XIAOMI REDMI NOTE 13 PRO+ 512GB 5G</t>
  </si>
  <si>
    <t>ZTE BLADE A34 64GB LTE</t>
  </si>
  <si>
    <t>ZTE BLADE A54 128GB LTE</t>
  </si>
  <si>
    <t>SAMSUNG GXY A05S SM-A057M 128GB LTE</t>
  </si>
  <si>
    <t>SAMSUNG GXY A15 SM-A155M 256GB LTE</t>
  </si>
  <si>
    <t>SAMSUNG GXY A25 SM-A256E 256GB 5G</t>
  </si>
  <si>
    <t>OPPO A58 256GB LTE</t>
  </si>
  <si>
    <t>MOTOROLA G24 POWER XT2425 256GB LTE</t>
  </si>
  <si>
    <t>MOTOROLA G04 XT2421 128GB LTE</t>
  </si>
  <si>
    <t>HONOR MAGIC 6 LITE ALI-NX3 256GB 5G</t>
  </si>
  <si>
    <t>OPPO A79 256GB 5G</t>
  </si>
  <si>
    <t>SAMSUNG GXY A35 SM-A356E 256GB 5G</t>
  </si>
  <si>
    <t>SAMSUNG GXY A55 SM-A556E 256GB 5G</t>
  </si>
  <si>
    <t>OPPO RENO 11F 256GB 5G</t>
  </si>
  <si>
    <t>XIAOMI REDMI A3 64GB LTE</t>
  </si>
  <si>
    <t>IPHONE 11 128GB LTE</t>
  </si>
  <si>
    <t>MOTOROLA EDGE 50 PRO 512GB 5G</t>
  </si>
  <si>
    <t>MOTOROLA EDGE 50 FUSION 256GB 5G</t>
  </si>
  <si>
    <t>ZTE NUBIA FOCUS PRO 256GB 5G</t>
  </si>
  <si>
    <t>HONOR 200 ELI-NX9 256GB 5G</t>
  </si>
  <si>
    <t>MOTOROLA G04 S XT2421-7 128GB LTE</t>
  </si>
  <si>
    <t>OPPO RENO 12F 256GB 5G</t>
  </si>
  <si>
    <t>MOTOROLA RAZR 50 XT2453 512GB 5G</t>
  </si>
  <si>
    <t>MOTOROLA G85 XT2427 256GB 5G</t>
  </si>
  <si>
    <t>SAMSUNG GXY A06 SM-A065M 128GB LTE</t>
  </si>
  <si>
    <t>XIAOMI 14T 512GB 5G</t>
  </si>
  <si>
    <t>OPPO A40 256GB LTE</t>
  </si>
  <si>
    <t>OPPO A60 256GB LTE</t>
  </si>
  <si>
    <t>OPPO A80 256GB 5G</t>
  </si>
  <si>
    <t>XIAOMI REDMI 14C 128GB LTE</t>
  </si>
  <si>
    <t>IPHONE 16 128GB</t>
  </si>
  <si>
    <t>IPHONE 16 PLUS 128GB</t>
  </si>
  <si>
    <t>IPHONE 16 PRO MAX 256GB</t>
  </si>
  <si>
    <t>SAMSUNG GXY S24 FE SM-S721B 256GB 5G</t>
  </si>
  <si>
    <t>IPHONE 16 PRO 128GB</t>
  </si>
  <si>
    <t>SAMSUNG GXY A16 SM-A166M 128GB 5G</t>
  </si>
  <si>
    <t>ZTE BLADE V70 256GB LTE</t>
  </si>
  <si>
    <t>HONOR X5B GFY-LX3 128GB LTE</t>
  </si>
  <si>
    <t>ZTE BLADE A35 64GB LTE</t>
  </si>
  <si>
    <t>SAMSUNG GXY A06 SM-A065M 64GB LTE</t>
  </si>
  <si>
    <t>ZTE BLADE A55 128GB LTE</t>
  </si>
  <si>
    <t>HONOR X6B JDY-LX3 256GB LTE</t>
  </si>
  <si>
    <t>MOTOROLA G35 XT2433 256GB 5G</t>
  </si>
  <si>
    <t>VIVO Y28S 256GB 5G</t>
  </si>
  <si>
    <t>PACK - OPPO RENO 12F</t>
  </si>
  <si>
    <t>PACK - SAMSUNG A16</t>
  </si>
  <si>
    <t>PACK - MOTOROLA G54</t>
  </si>
  <si>
    <t>PACK - OPPO A60</t>
  </si>
  <si>
    <t>PACK - OPPO A80</t>
  </si>
  <si>
    <t>PACK - ZTE BLADE V50 VITA</t>
  </si>
  <si>
    <t>PACK - ZTE BLADE V70</t>
  </si>
  <si>
    <t>XIAOMI REDMI NOTE 14 256GB LTE</t>
  </si>
  <si>
    <t>XIAOMI REDMI NOTE 14 PRO 256GB LTE</t>
  </si>
  <si>
    <t>XIAOMI REDMI NOTE 14 PRO+ 256GB 5G</t>
  </si>
  <si>
    <t>HONOR X7C ALT-LX3 256GB LTE</t>
  </si>
  <si>
    <t>HONOR X8C ABR-LX3 256GB LTE</t>
  </si>
  <si>
    <t>HONOR 200 ELI-NX9 512GB 5G</t>
  </si>
  <si>
    <t>HONOR MAGIC 7 LITE BPR-NX3 512GB 5G</t>
  </si>
  <si>
    <t>SAMSUNG GXY S25 128GB SM-S931B 5G</t>
  </si>
  <si>
    <t>SAMSUNG GXY S25 PLUS 256GB SM-S936B 5G</t>
  </si>
  <si>
    <t>SAMSUNG GXY S25 ULTRA 256GB SM-S938B 5G</t>
  </si>
  <si>
    <t>MOTOROLA G05 XT2523-2 128GB LTE</t>
  </si>
  <si>
    <t>MOTOROLA G15 XT2521-2 256GB LTE</t>
  </si>
  <si>
    <t>ZTE BLADE V70 MAX 256GB LTE</t>
  </si>
  <si>
    <t>MOTOROLA E15 XT2523-8 64GB LTE</t>
  </si>
  <si>
    <t>OPPO RENO 13F 256GB 5G</t>
  </si>
  <si>
    <t>OPPO A5 PRO 256GB 5G</t>
  </si>
  <si>
    <t>MOTOROLA EDGE 50 FUSION 256GB 5G B2C</t>
  </si>
  <si>
    <t>SAMSUNG GXY A36 SM-A366E 128GB 5G</t>
  </si>
  <si>
    <t>XIAOMI REDMI A5 64GB LTE</t>
  </si>
  <si>
    <t>OPPO A5 256GB 5G</t>
  </si>
  <si>
    <t>MOTOROLA EDGE 60 PRO 512GB 5G</t>
  </si>
  <si>
    <t>ZTE NUBIA FOCUS 2 ULTRA 256GB 5G</t>
  </si>
  <si>
    <t>MOTOROLA EDGE 60 FUSION 256GB 5G</t>
  </si>
  <si>
    <t>SAMSUNG GXY A16 SM-A165M 128GB LTE</t>
  </si>
  <si>
    <t>SAMSUNG GXY A56 SM-A566E 256GB 5G</t>
  </si>
  <si>
    <t>OPPO A5 256GB LTE</t>
  </si>
  <si>
    <t>SAMSUNG GXY A26 SM-A266M 128GB 5G</t>
  </si>
  <si>
    <t>MOTOROLA G56 XT2529 256GB 5G</t>
  </si>
  <si>
    <t>HONOR X6C NIC-LX3 256GB LTE</t>
  </si>
  <si>
    <t>ZTE BLADE A56 PRO 128GB LTE</t>
  </si>
  <si>
    <t>HONOR 400 DNY-NX9 512GB 5G</t>
  </si>
  <si>
    <t>MOTOROLA EDGE 60 512GB 5G</t>
  </si>
  <si>
    <t>HONOR 400 LITE ABR-NX3 256GB 5G</t>
  </si>
  <si>
    <t>HONOR 400</t>
  </si>
  <si>
    <t>184 g</t>
  </si>
  <si>
    <t>6.55", QHD, AMOLED</t>
  </si>
  <si>
    <t>https://www.honor.com/content/dam/honor/common/product-list/product-series/honor-400/honor-400-id-gold-back.png</t>
  </si>
  <si>
    <t>IP66</t>
  </si>
  <si>
    <t>Snapdragon 7 Gen 3 (4 nm)</t>
  </si>
  <si>
    <t>512 GB UFS 3.1</t>
  </si>
  <si>
    <t>200 Mpx (ƒ/ 1.9) + 12 Mpx UGA + Macro (ƒ/ 2.2)</t>
  </si>
  <si>
    <t>https://cdn-files.kimovil.com/phone_front/0011/82/thumb_1081106_phone_front_big.jpg</t>
  </si>
  <si>
    <t>📱 Comparativa de Celulares</t>
  </si>
  <si>
    <t>Selecciona los celulares a comparar</t>
  </si>
  <si>
    <t>Celular 1</t>
  </si>
  <si>
    <t>Celular 2</t>
  </si>
  <si>
    <t>Celular 3</t>
  </si>
  <si>
    <t>Comparativa Detallada</t>
  </si>
  <si>
    <t xml:space="preserve">Especificación	</t>
  </si>
  <si>
    <t>XIAOMI REDMI 15C 256GB LTE</t>
  </si>
  <si>
    <t>SAMSUNG GXY A16 128GB LTE</t>
  </si>
  <si>
    <t>Contado</t>
  </si>
  <si>
    <t>Plan</t>
  </si>
  <si>
    <t>PLANES</t>
  </si>
  <si>
    <t>PLANES MT</t>
  </si>
  <si>
    <t>205 g</t>
  </si>
  <si>
    <t>50 Mpx (ƒ/ 1.8) + 0.8 Mpx UGA (ƒ/ 2.2)</t>
  </si>
  <si>
    <t>HONOR X5C NLA-LX3 128GB LTE</t>
  </si>
  <si>
    <t>SAMSUNG GXY A07 SM-A075M 128GB LTE</t>
  </si>
  <si>
    <t>SAMSUNG GXY A07 128GB</t>
  </si>
  <si>
    <t xml:space="preserve">20.0W	</t>
  </si>
  <si>
    <t>4 GB (física) + hasta 8 GB (RAM Boost)</t>
  </si>
  <si>
    <t>50 Mpx (ƒ/ 1.8) + Flicker Sensor</t>
  </si>
  <si>
    <t>4 GB (física) + hasta 4 GB (RAM Boost)</t>
  </si>
  <si>
    <t>8 GB (física) + hasta 8 GB (RAM Boost)</t>
  </si>
  <si>
    <t>12 GB (física) + hasta 12 GB (RAM Boost)</t>
  </si>
  <si>
    <t>Ampliable</t>
  </si>
  <si>
    <t>Hasta 2Tb</t>
  </si>
  <si>
    <t>Hasta 1Tb</t>
  </si>
  <si>
    <t>8 GB (física)</t>
  </si>
  <si>
    <t>Hasta 1TB</t>
  </si>
  <si>
    <t>6 GB (física) + hasta 6 GB (RAM Boost)</t>
  </si>
  <si>
    <t>6 GB (física) + hasta 6 GB (RAM Plus)</t>
  </si>
  <si>
    <t>8 GB (física) + hasta 8 GB (RAM Plus)</t>
  </si>
  <si>
    <t>1080p@60fps</t>
  </si>
  <si>
    <t>Actualización</t>
  </si>
  <si>
    <t>Hasta 1.5Tb</t>
  </si>
  <si>
    <t>4 GB (física) + hasta 4 GB (RAM Plus)</t>
  </si>
  <si>
    <t>3 años</t>
  </si>
  <si>
    <t>4 años</t>
  </si>
  <si>
    <t>5 años</t>
  </si>
  <si>
    <t>6 años</t>
  </si>
  <si>
    <t>≤2 años</t>
  </si>
  <si>
    <t>~2 años</t>
  </si>
  <si>
    <t>2 GB (física) + hasta 4 GB (Dynamic RAM)</t>
  </si>
  <si>
    <t>4 GB (física) + hasta 8 GB (Dynamic RAM)</t>
  </si>
  <si>
    <t>8 GB (física) + hasta 12 GB (Dynamic RAM)</t>
  </si>
  <si>
    <t>4 GB (física) + hasta 10 GB (Dynamic RAM)</t>
  </si>
  <si>
    <t>A15 Bionic (5 nm)</t>
  </si>
  <si>
    <t>SAMSUNG A07</t>
  </si>
  <si>
    <t>https://images.samsung.com/is/image/samsung/p6pim/pe/sm-a075mlvaltp/gallery/pe-galaxy-a07-sm-a075-sm-a075mlvaltp-549150357?$Q90_684_547_JPG$</t>
  </si>
  <si>
    <t>https://images.samsung.com/is/image/samsung/p6pim/pe/sm-a075mlvaltp/gallery/pe-galaxy-a07-sm-a075-sm-a075mlvaltp-549150354?$Q90_684_547_JPG$</t>
  </si>
  <si>
    <t>REDMI 15C</t>
  </si>
  <si>
    <t>https://www.peru-smart.com/wp-content/uploads/2025/08/CELU1116NEGRO-128GB_1.jpg</t>
  </si>
  <si>
    <t>https://www.peru-smart.com/wp-content/uploads/2025/08/CELU1116NEGRO-128GB_0.jpg</t>
  </si>
  <si>
    <t>127K</t>
  </si>
  <si>
    <t>287K</t>
  </si>
  <si>
    <t>321K</t>
  </si>
  <si>
    <t>575K</t>
  </si>
  <si>
    <t>845K</t>
  </si>
  <si>
    <t>1256K</t>
  </si>
  <si>
    <t>262K</t>
  </si>
  <si>
    <t>475K</t>
  </si>
  <si>
    <t>288K</t>
  </si>
  <si>
    <t>405K</t>
  </si>
  <si>
    <t>225K</t>
  </si>
  <si>
    <t>416K</t>
  </si>
  <si>
    <t>388K</t>
  </si>
  <si>
    <t>574K</t>
  </si>
  <si>
    <t>550K</t>
  </si>
  <si>
    <t>841K</t>
  </si>
  <si>
    <t>289K</t>
  </si>
  <si>
    <t>450K</t>
  </si>
  <si>
    <t>420K</t>
  </si>
  <si>
    <t>154K</t>
  </si>
  <si>
    <t>245K</t>
  </si>
  <si>
    <t>178 g</t>
  </si>
  <si>
    <t>Dimensity 7300 (4 nm)</t>
  </si>
  <si>
    <t>640K</t>
  </si>
  <si>
    <t>50 Mpx (ƒ/ 1.88) + 13 Mpx UGA (ƒ/ 2.2) + 5 Mpx Retrato</t>
  </si>
  <si>
    <t>68.0W</t>
  </si>
  <si>
    <t>https://cdn-files.kimovil.com/phone_front/0011/67/thumb_1066808_phone_front_big.jpg</t>
  </si>
  <si>
    <t>https://cdn-files.kimovil.com/default/0011/67/thumb_1066804_default_big.jpg</t>
  </si>
  <si>
    <t>6.67", QHD+, pOLED</t>
  </si>
  <si>
    <t>XIAOMI REDMI NOTE 14 PRO+</t>
  </si>
  <si>
    <t>XIAOMI 15T</t>
  </si>
  <si>
    <t>XIAOMI 15T PRO</t>
  </si>
  <si>
    <t>XIAOMI 15T 512GB 5G</t>
  </si>
  <si>
    <t>XIAOMI 15T PRO 512GB 5G</t>
  </si>
  <si>
    <t>XIAOMI REDMI A5 128GB LTE</t>
  </si>
  <si>
    <t>XIAOMI REDMI A5 128GB</t>
  </si>
  <si>
    <t>6.88", HD+, LCD IPS</t>
  </si>
  <si>
    <t>193 g</t>
  </si>
  <si>
    <t>308K</t>
  </si>
  <si>
    <t>32 Mpx	(ƒ/ 2.0) + 0.3 Mpx</t>
  </si>
  <si>
    <t>18W</t>
  </si>
  <si>
    <t>6.67", QHD+, AMOLED</t>
  </si>
  <si>
    <t>6.83", UHD+, AMOLED</t>
  </si>
  <si>
    <t>210 g</t>
  </si>
  <si>
    <t>IP 68</t>
  </si>
  <si>
    <t>144 Hz</t>
  </si>
  <si>
    <t>813K</t>
  </si>
  <si>
    <t>1821K</t>
  </si>
  <si>
    <t>2821K</t>
  </si>
  <si>
    <t>512 GB UFS 4.1</t>
  </si>
  <si>
    <t>50 Mpx	(ƒ/ 1.7) + 50 Mpx Teleobjetivo (ƒ/ 1.9) + 12 Mpx UGA (ƒ/ 2.2)</t>
  </si>
  <si>
    <t>50 Mpx	(ƒ/ 1.6) + 50 Mpx Teleobjetivo (ƒ/ 3.0) + 12 Mpx UGA (ƒ/ 2.2)</t>
  </si>
  <si>
    <t>8K</t>
  </si>
  <si>
    <t>5110 mAh</t>
  </si>
  <si>
    <t>120W</t>
  </si>
  <si>
    <t>90W</t>
  </si>
  <si>
    <t>67W</t>
  </si>
  <si>
    <t>https://cdn-files.kimovil.com/phone_front/0010/83/thumb_982541_phone_front_big.jpg</t>
  </si>
  <si>
    <t>https://cdn-files.kimovil.com/phone_front/0012/39/thumb_1138492_phone_front_big.jpg</t>
  </si>
  <si>
    <t>https://cdn-files.kimovil.com/default/0011/15/thumb_1014575_default_big.jpg</t>
  </si>
  <si>
    <t>https://cdn-files.kimovil.com/default/0012/39/thumb_1138529_default_big.jpg</t>
  </si>
  <si>
    <t>https://cdn-files.kimovil.com/default/0012/39/thumb_1138592_default_big.jpg</t>
  </si>
  <si>
    <t>https://cdn-files.kimovil.com/phone_front/0011/63/thumb_1062743_phone_front_big.jpg</t>
  </si>
  <si>
    <t>https://cdn-files.kimovil.com/default/0011/63/thumb_1062732_default_big.jpg</t>
  </si>
  <si>
    <t>Unisoc Tiger T615 (12 nm)</t>
  </si>
  <si>
    <t>SnapD. 7s Gen3 (4 nm)</t>
  </si>
  <si>
    <t>Dimensity 8400 (4 nm)</t>
  </si>
  <si>
    <t>Dimensity 9400+ (3 nm)</t>
  </si>
  <si>
    <t>HONOR 400 LITE</t>
  </si>
  <si>
    <t>6.7", FHD, AMOLED</t>
  </si>
  <si>
    <t>171 g</t>
  </si>
  <si>
    <t>IP65</t>
  </si>
  <si>
    <t>470k</t>
  </si>
  <si>
    <t>5230 mAh</t>
  </si>
  <si>
    <t>33W</t>
  </si>
  <si>
    <t>https://cdn-files.kimovil.com/phone_front/0011/65/thumb_1064761_phone_front_big.jpg</t>
  </si>
  <si>
    <t>https://cdn-files.kimovil.com/default/0011/69/thumb_1068745_default_big.jpg</t>
  </si>
  <si>
    <t>Dimensity 7025  (6 nm)</t>
  </si>
  <si>
    <t>SAMSUNG GXY A17 128GB</t>
  </si>
  <si>
    <t>PACK1-HONOR X7C 256GB</t>
  </si>
  <si>
    <t>PACK2-HONOR X7C 256GB</t>
  </si>
  <si>
    <t>PACK-HONOR X8C 256GB</t>
  </si>
  <si>
    <t>PACK-IPHONE 16 PRO MAX 256GB</t>
  </si>
  <si>
    <t>IPHONE 17 256GB</t>
  </si>
  <si>
    <t>IPHONE 17 PRO 256GB</t>
  </si>
  <si>
    <t>IPHONE 17 PRO MAX 256GB</t>
  </si>
  <si>
    <t>IPHONE AIR 256GB ESIM</t>
  </si>
  <si>
    <t>SAMSUNG GXY A17 SM-A176B 128GB 5G</t>
  </si>
  <si>
    <t>SAMSUNG GXY S25 FE SM-S731B 256GB 5G</t>
  </si>
  <si>
    <t>OPPO A6 PRO 256GB 5G</t>
  </si>
  <si>
    <t>419K</t>
  </si>
  <si>
    <t>SAMSUNG A17</t>
  </si>
  <si>
    <t>https://cdn-files.kimovil.com/phone_front/0012/19/thumb_1118999_phone_front_big.jpg</t>
  </si>
  <si>
    <t>https://claroperupoc.vtexassets.com/arquivos/ids/2732537/SAMSUNG-GALAXY-A17-128GB-5G-03--1-.png?v=638977929439900000</t>
  </si>
  <si>
    <t>Exynos 1330 (5 nm)</t>
  </si>
  <si>
    <t>6.1", QHD, Oled</t>
  </si>
  <si>
    <t>1470k</t>
  </si>
  <si>
    <t>1586k</t>
  </si>
  <si>
    <t>4 GB</t>
  </si>
  <si>
    <t>6 GB</t>
  </si>
  <si>
    <t>128 GB NVMe</t>
  </si>
  <si>
    <t>48 Mpx (ƒ/ 1.6) + 12 Mpx UGA (ƒ/ 2.4)</t>
  </si>
  <si>
    <t>48 Mpx (ƒ/ 1.6) + 12 Mpx UGA (ƒ/ 2.2)</t>
  </si>
  <si>
    <t>3349 mAh</t>
  </si>
  <si>
    <t>3561 mAh</t>
  </si>
  <si>
    <t>8 GB</t>
  </si>
  <si>
    <t>6.3", QHD, Oled</t>
  </si>
  <si>
    <t>177 g</t>
  </si>
  <si>
    <t>A19 Bionic (3 nm)</t>
  </si>
  <si>
    <t>A16 Bionic (4 nm)</t>
  </si>
  <si>
    <t>A18 Bionic (3 nm)</t>
  </si>
  <si>
    <t>2084k</t>
  </si>
  <si>
    <t>256 GB NVMe</t>
  </si>
  <si>
    <t>4k</t>
  </si>
  <si>
    <t>18 Mpx</t>
  </si>
  <si>
    <t>3600 mAh</t>
  </si>
  <si>
    <t>https://cdn-files.kimovil.com/phone_front/0012/34/thumb_1133088_phone_front_big.jpg</t>
  </si>
  <si>
    <t>https://cdn-files.kimovil.com/default/0012/34/thumb_1133078_default_big.jpg</t>
  </si>
  <si>
    <t>https://cdn-files.kimovil.com/phone_front/0009/21/thumb_820071_phone_front_big.jpg</t>
  </si>
  <si>
    <t>https://cdn-files.kimovil.com/default/0009/21/thumb_820085_default_big.jpg</t>
  </si>
  <si>
    <t>https://cdn-files.kimovil.com/phone_front/0010/76/thumb_975708_phone_front_big.jpg</t>
  </si>
  <si>
    <t>https://cdn-files.kimovil.com/default/0010/76/thumb_975724_default_big.jpg</t>
  </si>
  <si>
    <t>OPPO A6 PRO 256GB</t>
  </si>
  <si>
    <t>409K</t>
  </si>
  <si>
    <t>80.0W</t>
  </si>
  <si>
    <t>6500 mAh</t>
  </si>
  <si>
    <t>IP69, MIL-STD-810H</t>
  </si>
  <si>
    <t>https://cdn-files.kimovil.com/phone_front/0012/31/thumb_1130631_phone_front_big.png</t>
  </si>
  <si>
    <t>https://www.oppostore.pe/_next/image?url=https%3A%2F%2Fperu.oppostores.com%2F2-1761339109402.webp&amp;w=1920&amp;q=75</t>
  </si>
  <si>
    <t>ZTE BLADE A36 64GB LTE</t>
  </si>
  <si>
    <t>XIAOMI REDMI 15 256GB LTE</t>
  </si>
  <si>
    <t xml:space="preserve">6.9", FHD+, LCD IPS	</t>
  </si>
  <si>
    <t>224 g</t>
  </si>
  <si>
    <t>Snapdragon 685</t>
  </si>
  <si>
    <t>338K</t>
  </si>
  <si>
    <t>108 Mpx (ƒ/ 1.7) + 2 Mpx (ƒ/ 2.4) + 0.3 Mpx</t>
  </si>
  <si>
    <t>7000 mAh</t>
  </si>
  <si>
    <t>MOTOROLA G06 XT2535-2 128GB LTE</t>
  </si>
  <si>
    <t>OPPO RENO 14F 256GB 5G STAR WARS</t>
  </si>
  <si>
    <t>https://cdn-files.kimovil.com/phone_front/0012/18/thumb_1117990_phone_front_big.jpg</t>
  </si>
  <si>
    <t>https://cdn-files.kimovil.com/default/0012/18/thumb_1117995_default_big.jpg</t>
  </si>
  <si>
    <t>194 g</t>
  </si>
  <si>
    <t>Unisoc T7200 (12 nm)</t>
  </si>
  <si>
    <t>240k</t>
  </si>
  <si>
    <t>MOTOROLA G06 128GB LTE</t>
  </si>
  <si>
    <t>50 Mpx (ƒ/ 1.8) + 0.3 Mpx</t>
  </si>
  <si>
    <t>7 años</t>
  </si>
  <si>
    <t>https://cdn-files.kimovil.com/phone_front/0012/34/thumb_1133317_phone_front_big.jpg</t>
  </si>
  <si>
    <t>https://cdn-files.kimovil.com/default/0012/34/thumb_1133326_default_big.jpg</t>
  </si>
  <si>
    <t>https://cdn-files.kimovil.com/phone_front/0011/100/thumb_1099875_phone_front_big.jpg</t>
  </si>
  <si>
    <t>https://singerwebcdn.azureedge.net/resources/products/normal/ZTE-A36-2-64GB-GLD-03.webp</t>
  </si>
  <si>
    <t>HONOR MAGIC 8 LITE 512GB 5G</t>
  </si>
  <si>
    <t>XIAOMI REDMI NOTE 15 256GB LTE</t>
  </si>
  <si>
    <t>HONOR X7D 256GB LTE</t>
  </si>
  <si>
    <t>XIAOMI REDMI NOTE 15 PRO 512GB 5G</t>
  </si>
  <si>
    <t>XIAOMI REDMI NOTE 15 PRO+ 512GB 5G</t>
  </si>
  <si>
    <t>OPPO A6X 256GB 5G</t>
  </si>
  <si>
    <t>ZTE NUBIA AIR 256GB 5G</t>
  </si>
  <si>
    <t>6.75", HD+, PLS</t>
  </si>
  <si>
    <t>212 g</t>
  </si>
  <si>
    <t>208 g</t>
  </si>
  <si>
    <t>6.77", HD, TFT LCD</t>
  </si>
  <si>
    <t>350K</t>
  </si>
  <si>
    <t>108 Mpx (ƒ/ 1.8) + 2 Mpx (ƒ/ 2.4)</t>
  </si>
  <si>
    <t>6500mAh</t>
  </si>
  <si>
    <t>6.79", QHD, AMOLED</t>
  </si>
  <si>
    <t>894K</t>
  </si>
  <si>
    <t>8300mAh</t>
  </si>
  <si>
    <t>IP68, IP69 y IP69K</t>
  </si>
  <si>
    <t>Snapdragon 6 Gen 4 (4 nm)</t>
  </si>
  <si>
    <t>IP 64</t>
  </si>
  <si>
    <t>6100 mAh</t>
  </si>
  <si>
    <t>108 Mpx (ƒ/ 1.7) + 2 Mpx (ƒ/ 2.4)</t>
  </si>
  <si>
    <t>6.83", FHD+, AMOLED</t>
  </si>
  <si>
    <t>204 g</t>
  </si>
  <si>
    <t>207 g</t>
  </si>
  <si>
    <t>Snapdragon 7s Gen4 (4 nm)</t>
  </si>
  <si>
    <t>512 GB UFS 2.2</t>
  </si>
  <si>
    <t>200 Mpx (ƒ/ 1.7) + 8 Mpx UGA (ƒ/ 2.8)</t>
  </si>
  <si>
    <t>200 Mpx (ƒ/ 1.7) + 8 Mpx UGA (ƒ/ 2.2) + 2 Mpx MACRO (ƒ/ 2.4)</t>
  </si>
  <si>
    <t>6850 mAh</t>
  </si>
  <si>
    <t>100W</t>
  </si>
  <si>
    <t>6.78", FHD+, AMOLED</t>
  </si>
  <si>
    <t>172 g</t>
  </si>
  <si>
    <t>IP68/IP69K</t>
  </si>
  <si>
    <t>Unisoc T8300 (6 nm)</t>
  </si>
  <si>
    <t>510k</t>
  </si>
  <si>
    <t>50 Mpx	(ƒ/ 1.6) + 2 Mpx	(ƒ/ 2.4) + 0.8 Mpx</t>
  </si>
  <si>
    <t>https://cdn-files.kimovil.com/phone_front/0012/73/thumb_1172790_phone_front_big.jpg</t>
  </si>
  <si>
    <t>https://cdn-files.kimovil.com/default/0012/73/thumb_1172793_default_big.jpg</t>
  </si>
  <si>
    <t>https://cdn-files.kimovil.com/phone_front/0012/71/thumb_1170287_phone_front_big.jpg</t>
  </si>
  <si>
    <t>https://cdn-files.kimovil.com/default/0012/74/thumb_1173493_default_big.jpg</t>
  </si>
  <si>
    <t>https://cdn-files.kimovil.com/phone_front/0012/28/thumb_1127187_phone_front_big.png</t>
  </si>
  <si>
    <t>https://cdn-files.kimovil.com/default/0012/28/thumb_1127182_default_big.png</t>
  </si>
  <si>
    <t>https://cdn-files.kimovil.com/phone_front/0012/71/thumb_1170334_phone_front_big.jpg</t>
  </si>
  <si>
    <t>https://cdn-files.kimovil.com/default/0012/71/thumb_1170322_default_big.jpg</t>
  </si>
  <si>
    <t>https://cdn-files.kimovil.com/phone_front/0012/71/thumb_1170336_phone_front_big.jpg</t>
  </si>
  <si>
    <t>https://cdn-files.kimovil.com/default/0012/71/thumb_1170343_default_big.jpg</t>
  </si>
  <si>
    <t>https://cdn-files.kimovil.com/phone_front/0012/71/thumb_1170286_phone_front_big.jpg</t>
  </si>
  <si>
    <t>https://miportal.entel.pe/static/010220261103474/images/Oppo_A6x_256GB_5G_Morado_Posterior_276x549.jpg</t>
  </si>
  <si>
    <t>https://miportal.entel.pe/static/010220261103474/images/ZTE_Nubia_Air_256GB_5G_Negro_Frontal_276x549.jpg</t>
  </si>
  <si>
    <t>https://miportal.entel.pe/static/010220261103474/images/ZTE_Nubia_Air_256GB_5G_Negro_Posterior_276x549.jpg</t>
  </si>
  <si>
    <t>HONOR X5C 128GB</t>
  </si>
  <si>
    <t>HONOR X8C 256GB 5G</t>
  </si>
  <si>
    <t>6.74", HD+, TFT LCD (IPS)</t>
  </si>
  <si>
    <t>186 g</t>
  </si>
  <si>
    <t>Helio G81 (12 nm)</t>
  </si>
  <si>
    <t>280K</t>
  </si>
  <si>
    <t>50 Mpx	(ƒ/ 2.2) + 0.8 Mpx (QVGA)</t>
  </si>
  <si>
    <t>5260 mAh</t>
  </si>
  <si>
    <t>15.0W</t>
  </si>
  <si>
    <t>https://coolboxpe.vtexassets.com/arquivos/ids/515446-800-800?v=639033347686070000&amp;width=800&amp;height=800&amp;aspect=true</t>
  </si>
  <si>
    <t>https://coolboxpe.vtexassets.com/arquivos/ids/515447-800-800?v=639033347686070000&amp;width=800&amp;height=800&amp;aspect=true</t>
  </si>
  <si>
    <t>MOTOROLA G77 XT2621 256GB 5G</t>
  </si>
  <si>
    <t>SAMSUNG GXY S26 256GB SM-S942B 5G</t>
  </si>
  <si>
    <t>SAMSUNG GXY S26 PLUS 256GB SM-S947B 5G</t>
  </si>
  <si>
    <t>SAMSUNG GXY S26 ULTRA 256GB SM-S948B 5G</t>
  </si>
  <si>
    <t>182 g</t>
  </si>
  <si>
    <t>IP64 , MIL-STD-810H</t>
  </si>
  <si>
    <t>Dimensity 6400 (4 nm)</t>
  </si>
  <si>
    <t>449K</t>
  </si>
  <si>
    <t>108 Mpx (ƒ/ 1.7) + 8 Mpx UGA (ƒ/ 2.2)</t>
  </si>
  <si>
    <t>https://cdn-files.kimovil.com/phone_front/0012/99/thumb_1198485_phone_front_big.jpg</t>
  </si>
  <si>
    <t>https://cdn-files.kimovil.com/default/0012/99/thumb_1198482_default_big.jpg</t>
  </si>
  <si>
    <t>MOTOROLA G77 256GB 5G</t>
  </si>
  <si>
    <t>Dimensity 7400 Ultra (4 nm)</t>
  </si>
  <si>
    <t>780K</t>
  </si>
  <si>
    <t>IP66, IP68, IP69, IP69K</t>
  </si>
  <si>
    <t>MOTOROLA G17 XT2623 256GB LTE</t>
  </si>
  <si>
    <t>50 Mpx (ƒ/ 1.88) + 5 Mpx UGA (ƒ/ 2.2)</t>
  </si>
  <si>
    <t>PACK - SAMSUNG A26 A266M 128GB 5G</t>
  </si>
  <si>
    <t>PACK - SAMSUNG A36 A366E 128GB 5G</t>
  </si>
  <si>
    <t>PACK - IPHONE 15 128GB</t>
  </si>
  <si>
    <t>PACK - IPHONE 16 128GB</t>
  </si>
  <si>
    <t>https://cdn-files.kimovil.com/phone_front/0012/99/thumb_1198008_phone_front_big.jpg</t>
  </si>
  <si>
    <t>https://cdn-files.kimovil.com/default/0012/99/thumb_1198015_default_big.jpg</t>
  </si>
  <si>
    <t>SAMSUNG GXY A37 256GB 5G</t>
  </si>
  <si>
    <t>SAMSUNG GXY A57 256G 5G</t>
  </si>
  <si>
    <t>MOTOROLA EDGE 70 FUSION 256GB 5G</t>
  </si>
  <si>
    <t>SAMSUNG GXY A37 SM-A376B 256GB 5G</t>
  </si>
  <si>
    <t>SAMSUNG GXY A57 SM-A576B 256GB 5G</t>
  </si>
  <si>
    <t>731K</t>
  </si>
  <si>
    <t>50 Mpx	(ƒ/ 1.8) + 8 Mpx	UGA (ƒ/ 2.2) + 5 Mpx MACRO (ƒ/ 2.4)</t>
  </si>
  <si>
    <t>Exynos 1480 (4 nm)</t>
  </si>
  <si>
    <t>6.7", FHD+, Super AMOLED+</t>
  </si>
  <si>
    <t>Exynos 1680 (4 nm)</t>
  </si>
  <si>
    <t>1120K</t>
  </si>
  <si>
    <t>https://cdn-files.kimovil.com/phone_front/0013/21/thumb_1220378_phone_front_big.jpg</t>
  </si>
  <si>
    <t>https://cdn-files.kimovil.com/phone_front/0013/21/thumb_1220366_phone_front_big.jpg</t>
  </si>
  <si>
    <t>https://cdn-files.kimovil.com/default/0013/21/thumb_1220368_default_big.jpg</t>
  </si>
  <si>
    <t>https://media.falabella.com/falabellaPE/152701282_01/w=1500,h=1500,fit=cover</t>
  </si>
  <si>
    <t>50 Mpx (ƒ/ 1.8) + 13 Mpx UGA (ƒ/ 2.2)</t>
  </si>
  <si>
    <t>https://cdn-files.kimovil.com/phone_front/0013/11/thumb_1210989_phone_front_big.jpg</t>
  </si>
  <si>
    <t>https://cdn-files.kimovil.com/default/0013/12/thumb_1211002_default_big.jpg</t>
  </si>
  <si>
    <t>NFC</t>
  </si>
  <si>
    <t>ZTE NUBIA V80 PRO 256GB LTE</t>
  </si>
  <si>
    <t>ZTE NUBIA V80 MAX 256GB LTE</t>
  </si>
  <si>
    <t xml:space="preserve">6.75", FHD, LCD IPS	</t>
  </si>
  <si>
    <t>Unisoc T7280 (12 nm)</t>
  </si>
  <si>
    <t>306K</t>
  </si>
  <si>
    <t>8 GB (física) + hasta 8 GB (Dynamic RAM)</t>
  </si>
  <si>
    <t>108 Mpx (ƒ/ 1.6) + 2 Mpx (ƒ/ 2.4) + 0.1 Mpx</t>
  </si>
  <si>
    <t>Unisoc T7250 (12 nm)</t>
  </si>
  <si>
    <t>263K</t>
  </si>
  <si>
    <t>9 GB (física) + hasta 8 GB (Dynamic RAM)</t>
  </si>
  <si>
    <t>256 GB UFS</t>
  </si>
  <si>
    <t>https://claroperupoc.vtexassets.com/arquivos/ids/2956850/ZTE-NUBIA-V80-MAX-256GB-NEGRO-04.jpg?v=639105733666730000</t>
  </si>
  <si>
    <t>https://claroperupoc.vtexassets.com/arquivos/ids/2956848/ZTE-NUBIA-V80-MAX-256GB-NEGRO-02.jpg?v=639105733666430000</t>
  </si>
  <si>
    <t>https://coolboxpe.vtexassets.com/arquivos/ids/534506/celular-zte-nubia-v80-pro-5g-256gb-8gb-ram-negro_6.jpg?v=639092978190170000</t>
  </si>
  <si>
    <t>https://media.falabella.com/falabellaCO/73505040_2/w=1500,h=1500,fit=cover</t>
  </si>
  <si>
    <t>IPHONE 17 PRO MAX 512GB</t>
  </si>
  <si>
    <t>https://embed.studio.binkies3d.com/live3d/69e114f643ca7a0036ed5b71</t>
  </si>
  <si>
    <t>IMAGEN</t>
  </si>
  <si>
    <t>https://embed.studio.binkies3d.com/live3d/69e12831492f94003516cb26</t>
  </si>
  <si>
    <t>https://embed.studio.binkies3d.com/live3d/69e128bc492f94003516cb89</t>
  </si>
  <si>
    <t>https://embed.studio.binkies3d.com/live3d/69e129b874c82e003663da95</t>
  </si>
  <si>
    <t>https://embed.studio.binkies3d.com/live3d/69e129f8a8d031003791f1a7</t>
  </si>
  <si>
    <t>https://embed.studio.binkies3d.com/live3d/69e12945dd904d00377a06d8</t>
  </si>
  <si>
    <t>https://embed.studio.binkies3d.com/live3d/69e128e8dd904d00377a0669</t>
  </si>
  <si>
    <t>https://embed.studio.binkies3d.com/live3d/69e12a7bc7300c00376148d6</t>
  </si>
  <si>
    <t>https://embed.studio.binkies3d.com/live3d/69e12ab0492f94003516cc8a</t>
  </si>
  <si>
    <t>https://embed.studio.binkies3d.com/live3d/69e12ae6c7300c0037614948</t>
  </si>
  <si>
    <t>https://embed.studio.binkies3d.com/live3d/69e12b6dc7300c00376149a0</t>
  </si>
  <si>
    <t>https://embed.studio.binkies3d.com/live3d/69e12b92c7300c00376149f6</t>
  </si>
  <si>
    <t>https://embed.studio.binkies3d.com/live3d/69e12bf5492f94003516cd5f</t>
  </si>
  <si>
    <t>https://embed.studio.binkies3d.com/live3d/69e12c1ca8d031003791f20b</t>
  </si>
  <si>
    <t>https://embed.studio.binkies3d.com/live3d/69e12c4bc7300c0037614a81</t>
  </si>
  <si>
    <t>https://embed.studio.binkies3d.com/live3d/69e12c8cc7300c0037614adf</t>
  </si>
  <si>
    <t>https://embed.studio.binkies3d.com/live3d/69e12ccac7300c0037614b7e</t>
  </si>
  <si>
    <t>https://embed.studio.binkies3d.com/live3d/69e12d20a8d031003791f2ac</t>
  </si>
  <si>
    <t>https://embed.studio.binkies3d.com/live3d/69e12d45c7300c0037614bf1</t>
  </si>
  <si>
    <t>https://embed.studio.binkies3d.com/live3d/69e12d77c7300c0037614c47</t>
  </si>
  <si>
    <t>https://embed.studio.binkies3d.com/live3d/69e12dada8d031003791f2d7</t>
  </si>
  <si>
    <t>https://embed.studio.binkies3d.com/live3d/69e12ddc74c82e003663dbda</t>
  </si>
  <si>
    <t>https://embed.studio.binkies3d.com/live3d/69e12e0074c82e003663dc30</t>
  </si>
  <si>
    <t>https://embed.studio.binkies3d.com/live3d/69e12e20c7300c0037614ca6</t>
  </si>
  <si>
    <t>https://embed.studio.binkies3d.com/live3d/69e12e3fa8d031003791f32c</t>
  </si>
  <si>
    <t>https://embed.studio.binkies3d.com/live3d/69e12e6da8d031003791f385</t>
  </si>
  <si>
    <t>https://embed.studio.binkies3d.com/live3d/69e12e86c7300c0037614cff</t>
  </si>
  <si>
    <t>XIAOMI REDMI 15C</t>
  </si>
  <si>
    <t>SAMSUNG GXY A07</t>
  </si>
  <si>
    <t>SAMSUNG GXY A17</t>
  </si>
  <si>
    <t>https://embed.studio.binkies3d.com/live3d/69e12ed774c82e003663dcd3</t>
  </si>
  <si>
    <t>https://embed.studio.binkies3d.com/live3d/69e12efb74c82e003663dd2c</t>
  </si>
  <si>
    <t>https://embed.studio.binkies3d.com/live3d/69e12f1374c82e003663dd6e</t>
  </si>
  <si>
    <t>https://embed.studio.binkies3d.com/live3d/69e12f2ca8d031003791f414</t>
  </si>
  <si>
    <t>https://embed.studio.binkies3d.com/live3d/69e12f4874c82e003663ddc0</t>
  </si>
  <si>
    <t>https://embed.studio.binkies3d.com/live3d/69e12f5d74c82e003663de02</t>
  </si>
  <si>
    <t>https://embed.studio.binkies3d.com/live3d/69e12f7674c82e003663de73</t>
  </si>
  <si>
    <t>https://embed.studio.binkies3d.com/live3d/69e12f8b74c82e003663deb3</t>
  </si>
  <si>
    <t>https://embed.studio.binkies3d.com/live3d/69e12fa974c82e003663df1c</t>
  </si>
  <si>
    <t>https://embed.studio.binkies3d.com/live3d/69e12fc4492f94003516cec6</t>
  </si>
  <si>
    <t>https://embed.studio.binkies3d.com/live3d/69e12fe8492f94003516cf18</t>
  </si>
  <si>
    <t>https://embed.studio.binkies3d.com/live3d/69e12fff492f94003516cf6a</t>
  </si>
  <si>
    <t>https://embed.studio.binkies3d.com/live3d/69e1302274c82e003663df99</t>
  </si>
  <si>
    <t>https://embed.studio.binkies3d.com/live3d/69e1303fa8d031003791f45f</t>
  </si>
  <si>
    <t>https://embed.studio.binkies3d.com/live3d/69e1307074c82e003663e011</t>
  </si>
  <si>
    <t>https://embed.studio.binkies3d.com/live3d/69e1309374c82e003663e051</t>
  </si>
  <si>
    <t>https://embed.studio.binkies3d.com/live3d/69e130bc74c82e003663e0a6</t>
  </si>
  <si>
    <t>https://embed.studio.binkies3d.com/live3d/69e130dda8d031003791f4d0</t>
  </si>
  <si>
    <t>https://embed.studio.binkies3d.com/live3d/69e130fb492f94003516d00d</t>
  </si>
  <si>
    <t>https://embed.studio.binkies3d.com/live3d/69e131ddc7300c0037614da6</t>
  </si>
  <si>
    <t>https://embed.studio.binkies3d.com/live3d/69e1320974c82e003663e48b</t>
  </si>
  <si>
    <t>https://embed.studio.binkies3d.com/live3d/69e1322cc7300c0037614deb</t>
  </si>
  <si>
    <t>https://embed.studio.binkies3d.com/live3d/69e132b0c7300c0037614e73</t>
  </si>
  <si>
    <t>https://embed.studio.binkies3d.com/live3d/69e132dcc7300c0037614ebe</t>
  </si>
  <si>
    <t>https://embed.studio.binkies3d.com/live3d/69e13301c7300c0037614f10</t>
  </si>
  <si>
    <t>https://embed.studio.binkies3d.com/live3d/69e1331ec7300c0037614f57</t>
  </si>
  <si>
    <t>https://embed.studio.binkies3d.com/live3d/69e13340492f94003516d301</t>
  </si>
  <si>
    <t>https://embed.studio.binkies3d.com/live3d/69e1336874c82e003663e51a</t>
  </si>
  <si>
    <t>MOTOROLA G17 256GB LTE</t>
  </si>
  <si>
    <t>1047k</t>
  </si>
  <si>
    <t>807k</t>
  </si>
  <si>
    <t>Snapdragon 7s Gen 3 (4 nm)</t>
  </si>
  <si>
    <t>XIAOMI REDMI A7 PRO 128GB LTE</t>
  </si>
  <si>
    <t>6.9", QHD, Oled</t>
  </si>
  <si>
    <t>233 g</t>
  </si>
  <si>
    <t>A19 Pro (3 nm)</t>
  </si>
  <si>
    <t>2309k</t>
  </si>
  <si>
    <t>12 GB</t>
  </si>
  <si>
    <t>512 GB NVMe</t>
  </si>
  <si>
    <t>48 Mpx (ƒ/ 1.6) + 48 Mpx UGA (ƒ/ 2.2) + 48 Mpx Teleobjetivo (ƒ/ 2.8)</t>
  </si>
  <si>
    <t>4823 mAh</t>
  </si>
  <si>
    <t>40W</t>
  </si>
  <si>
    <t>SI, 25W</t>
  </si>
  <si>
    <t>FACEID</t>
  </si>
  <si>
    <t>7 años desde 2026</t>
  </si>
  <si>
    <t>32 Mpx	(ƒ/ 2.0) + AUX (POSIBLE)</t>
  </si>
  <si>
    <t>SAMSUNG GXY S26 ULTRA 256GB</t>
  </si>
  <si>
    <t>SAMSUNG GXY S26 PLUS 256GB</t>
  </si>
  <si>
    <t>SAMSUNG GXY S26 256GB</t>
  </si>
  <si>
    <t>167 g</t>
  </si>
  <si>
    <t>6.3", FHD+, Dynamic AMOLED 2X</t>
  </si>
  <si>
    <t>2825K</t>
  </si>
  <si>
    <t>12 GB (física) + hasta 8 GB (RAM Plus)</t>
  </si>
  <si>
    <t>256 GB UFS 4.1</t>
  </si>
  <si>
    <t>50 Mpx	(ƒ/ 1.8) + 12 Mpx UGA (ƒ/ 2.2) + 12 Mpx Teleobjetivo (ƒ/ 2.4)</t>
  </si>
  <si>
    <t>4300 mAh</t>
  </si>
  <si>
    <t>SI, 15W</t>
  </si>
  <si>
    <t>6.7", WQHD+, Dynamic AMOLED 2X</t>
  </si>
  <si>
    <t>Exynos 2600 (2 nm)</t>
  </si>
  <si>
    <t>4900 mAh</t>
  </si>
  <si>
    <t>6.9", WQHD+, Dynamic AMOLED 2X</t>
  </si>
  <si>
    <t>214 g</t>
  </si>
  <si>
    <t>4027K</t>
  </si>
  <si>
    <t>200 Mpx (ƒ/ 1.4) + 50 Mpx UGA (ƒ/ 1.9) + 10 Mpx Teleobjetivo (ƒ/ 2.4) + 10 Mpx Teleobjetivo (ƒ/ 2.9)</t>
  </si>
  <si>
    <t>60W</t>
  </si>
  <si>
    <t>https://embed.studio.binkies3d.com/live3d/69eaa3746556ec00373c4694</t>
  </si>
  <si>
    <t>https://cdn-files.kimovil.com/default/0013/12/thumb_1211047_default_big.png</t>
  </si>
  <si>
    <t>https://embed.studio.binkies3d.com/live3d/69eaa3ac6556ec00373c46d6</t>
  </si>
  <si>
    <t>https://embed.studio.binkies3d.com/live3d/69eaa41e6556ec00373c474b</t>
  </si>
  <si>
    <t>https://embed.studio.binkies3d.com/live3d/69eaa43950dfff0035ea3e84</t>
  </si>
  <si>
    <t>Snapdragon 8 Elite Gen 5 (3 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</si>
</sst>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mmm\-yyyy"/>
    <numFmt numFmtId="166" formatCode="_(&quot;S/.&quot;* #,##0.00_);_(&quot;S/.&quot;* \(#,##0.00\);_(&quot;S/.&quot;* &quot;-&quot;??_);_(@_)"/>
  </numFmts>
  <fonts count="23">
    <font>
      <sz val="11"/>
      <color theme="1"/>
      <name val="Calibri"/>
      <family val="2"/>
      <scheme val="minor"/>
    </font>
    <font>
      <sz val="14"/>
      <color rgb="FF111827"/>
      <name val="Arial"/>
      <family val="2"/>
    </font>
    <font>
      <sz val="14"/>
      <color rgb="FF37415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9"/>
      <color rgb="FF000000"/>
      <name val="Calibri"/>
      <family val="2"/>
    </font>
    <font>
      <sz val="9"/>
      <color theme="0" tint="-0.14999847407452621"/>
      <name val="Calibri"/>
      <family val="2"/>
    </font>
    <font>
      <sz val="9"/>
      <color theme="1"/>
      <name val="Calibri"/>
      <family val="2"/>
      <scheme val="minor"/>
    </font>
    <font>
      <sz val="10"/>
      <name val="Arial Unicode MS"/>
      <family val="2"/>
    </font>
    <font>
      <sz val="9"/>
      <name val="Calibri"/>
      <family val="2"/>
    </font>
    <font>
      <sz val="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11"/>
      <color indexed="8"/>
      <name val="Calibri"/>
      <family val="2"/>
    </font>
    <font>
      <sz val="10"/>
      <name val="TheSansCorrespondence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3CD927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tted">
        <color theme="9" tint="-0.499984740745262"/>
      </top>
      <bottom/>
      <diagonal/>
    </border>
    <border>
      <left style="dotted">
        <color theme="9" tint="-0.499984740745262"/>
      </left>
      <right style="dotted">
        <color theme="9" tint="-0.499984740745262"/>
      </right>
      <top style="dotted">
        <color theme="9" tint="-0.499984740745262"/>
      </top>
      <bottom style="dotted">
        <color theme="9" tint="-0.499984740745262"/>
      </bottom>
      <diagonal/>
    </border>
    <border>
      <left/>
      <right/>
      <top style="dotted">
        <color theme="9" tint="-0.499984740745262"/>
      </top>
      <bottom style="dotted">
        <color theme="9" tint="-0.499984740745262"/>
      </bottom>
      <diagonal/>
    </border>
  </borders>
  <cellStyleXfs count="38">
    <xf numFmtId="0" fontId="0" fillId="0" borderId="0"/>
    <xf numFmtId="0" fontId="4" fillId="0" borderId="0" applyNumberFormat="0" applyFill="0" applyBorder="0" applyAlignment="0" applyProtection="0"/>
    <xf numFmtId="0" fontId="3" fillId="0" borderId="0"/>
    <xf numFmtId="0" fontId="11" fillId="0" borderId="0"/>
    <xf numFmtId="9" fontId="3" fillId="0" borderId="0" applyFont="0" applyFill="0" applyBorder="0" applyAlignment="0" applyProtection="0"/>
    <xf numFmtId="0" fontId="22" fillId="0" borderId="0"/>
    <xf numFmtId="43" fontId="3" fillId="0" borderId="0" applyFont="0" applyFill="0" applyBorder="0" applyAlignment="0" applyProtection="0"/>
    <xf numFmtId="0" fontId="22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22" fillId="0" borderId="0" applyFill="0" applyBorder="0"/>
    <xf numFmtId="0" fontId="3" fillId="0" borderId="0"/>
    <xf numFmtId="0" fontId="22" fillId="0" borderId="0"/>
    <xf numFmtId="0" fontId="22" fillId="0" borderId="0" applyFill="0" applyBorder="0"/>
    <xf numFmtId="0" fontId="22" fillId="0" borderId="0" applyFill="0" applyBorder="0"/>
    <xf numFmtId="0" fontId="22" fillId="0" borderId="0"/>
    <xf numFmtId="0" fontId="22" fillId="0" borderId="0" applyFill="0" applyBorder="0"/>
    <xf numFmtId="0" fontId="3" fillId="0" borderId="0"/>
    <xf numFmtId="166" fontId="22" fillId="0" borderId="0" applyFont="0" applyFill="0" applyBorder="0" applyAlignment="0" applyProtection="0"/>
    <xf numFmtId="0" fontId="3" fillId="0" borderId="0"/>
    <xf numFmtId="0" fontId="3" fillId="0" borderId="0"/>
    <xf numFmtId="0" fontId="22" fillId="0" borderId="0" applyFill="0" applyBorder="0"/>
    <xf numFmtId="0" fontId="22" fillId="0" borderId="0" applyFill="0" applyBorder="0"/>
    <xf numFmtId="0" fontId="22" fillId="0" borderId="0" applyFill="0" applyBorder="0"/>
    <xf numFmtId="0" fontId="3" fillId="0" borderId="0"/>
    <xf numFmtId="0" fontId="22" fillId="0" borderId="0" applyFill="0" applyBorder="0"/>
    <xf numFmtId="0" fontId="22" fillId="0" borderId="0" applyFill="0" applyBorder="0"/>
    <xf numFmtId="0" fontId="22" fillId="0" borderId="0"/>
    <xf numFmtId="0" fontId="22" fillId="0" borderId="0" applyFill="0" applyBorder="0"/>
    <xf numFmtId="0" fontId="22" fillId="0" borderId="0" applyFill="0" applyBorder="0"/>
    <xf numFmtId="0" fontId="21" fillId="0" borderId="0"/>
    <xf numFmtId="0" fontId="22" fillId="0" borderId="0" applyFill="0" applyBorder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4" fillId="0" borderId="0" xfId="1"/>
    <xf numFmtId="0" fontId="7" fillId="5" borderId="1" xfId="2" applyFont="1" applyFill="1" applyBorder="1" applyAlignment="1">
      <alignment horizontal="center" vertical="center" wrapText="1"/>
    </xf>
    <xf numFmtId="1" fontId="8" fillId="6" borderId="1" xfId="0" applyNumberFormat="1" applyFont="1" applyFill="1" applyBorder="1" applyAlignment="1">
      <alignment horizontal="center" wrapText="1"/>
    </xf>
    <xf numFmtId="1" fontId="9" fillId="7" borderId="1" xfId="0" applyNumberFormat="1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0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6" fillId="3" borderId="1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" fontId="8" fillId="6" borderId="1" xfId="0" applyNumberFormat="1" applyFont="1" applyFill="1" applyBorder="1" applyAlignment="1">
      <alignment horizontal="left"/>
    </xf>
    <xf numFmtId="0" fontId="10" fillId="8" borderId="1" xfId="0" applyFont="1" applyFill="1" applyBorder="1" applyAlignment="1">
      <alignment horizontal="left"/>
    </xf>
    <xf numFmtId="0" fontId="12" fillId="8" borderId="1" xfId="3" applyFont="1" applyFill="1" applyBorder="1" applyAlignment="1">
      <alignment horizontal="left" vertical="center" readingOrder="1"/>
    </xf>
    <xf numFmtId="14" fontId="0" fillId="0" borderId="0" xfId="0" applyNumberForma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</cellXfs>
  <cellStyles count="38">
    <cellStyle name="Diseño 2 10" xfId="15" xr:uid="{F51F98C2-E4CC-4833-8EB7-E67648B45D7B}"/>
    <cellStyle name="Hipervínculo" xfId="1" builtinId="8"/>
    <cellStyle name="Millares 2" xfId="6" xr:uid="{C946228E-E706-422D-B932-4EB379DFF396}"/>
    <cellStyle name="Millares 3" xfId="36" xr:uid="{8C5F4F6E-CCC0-4901-AB8C-53D36FFADD89}"/>
    <cellStyle name="Millares 3 2" xfId="37" xr:uid="{3E1C4F1D-980E-4A13-9507-5BFCF092BD63}"/>
    <cellStyle name="Moneda 2" xfId="20" xr:uid="{05FAFA70-18BB-4FCA-9C78-0798A5FBFE78}"/>
    <cellStyle name="Normal" xfId="0" builtinId="0"/>
    <cellStyle name="Normal 10" xfId="14" xr:uid="{E756DB06-ED9B-4FB4-8875-F456CED7DD8A}"/>
    <cellStyle name="Normal 12" xfId="25" xr:uid="{282E3A83-A368-4A4C-8FDF-AA3A7EFFDC3C}"/>
    <cellStyle name="Normal 12 4" xfId="30" xr:uid="{3DB3414A-56C6-4EA2-90DC-568863E7BCFD}"/>
    <cellStyle name="Normal 14 3" xfId="19" xr:uid="{CBDCFBD6-7A10-4702-B586-9F6CD82B1AFD}"/>
    <cellStyle name="Normal 14 3 4" xfId="21" xr:uid="{3EF1AE5A-4DC1-4849-94AE-C289CB8DFB3B}"/>
    <cellStyle name="Normal 16" xfId="13" xr:uid="{8EBADB38-8C61-40CB-80AC-B26C1A0E0D76}"/>
    <cellStyle name="Normal 16 2 2 2" xfId="16" xr:uid="{788E7FF2-5702-4E3D-A019-9B46AD8B2E9A}"/>
    <cellStyle name="Normal 182" xfId="34" xr:uid="{B90F43A2-43CC-4944-B632-03BFB3D6F96C}"/>
    <cellStyle name="Normal 2" xfId="18" xr:uid="{A105E070-E52F-47C3-919C-AC3447A2E0AF}"/>
    <cellStyle name="Normal 2 10" xfId="11" xr:uid="{1A63D543-88EC-43FB-9391-C17478DC9519}"/>
    <cellStyle name="Normal 2 10 2 2" xfId="29" xr:uid="{3CAE569E-B4C9-4C17-9550-89D976C70385}"/>
    <cellStyle name="Normal 2 11" xfId="27" xr:uid="{1A900D12-D877-4B7E-955D-F307EF770987}"/>
    <cellStyle name="Normal 2 2" xfId="23" xr:uid="{A8BB86AE-C587-420E-8C55-E1C6716BBEBD}"/>
    <cellStyle name="Normal 2 2 5" xfId="22" xr:uid="{37B31BE1-4D74-40D1-8A04-0A51B302D339}"/>
    <cellStyle name="Normal 2 3" xfId="31" xr:uid="{1F526122-244E-4654-8814-C615DADDDD4A}"/>
    <cellStyle name="Normal 2 3 2 2" xfId="5" xr:uid="{63A48A6A-7916-4C28-A202-76BBC9AD3E1A}"/>
    <cellStyle name="Normal 3" xfId="8" xr:uid="{3322291C-E579-4C87-A466-EE1E6FAD0D21}"/>
    <cellStyle name="Normal 3 12 2" xfId="10" xr:uid="{9A36FFC1-71AA-4DD9-8FBF-A8337DA0516B}"/>
    <cellStyle name="Normal 3 13 3" xfId="9" xr:uid="{0EFB435B-8BE1-4ACF-88C3-2E70777B2614}"/>
    <cellStyle name="Normal 30 4" xfId="24" xr:uid="{C043EF92-CC53-40F4-A616-571CFFD11D48}"/>
    <cellStyle name="Normal 35 2 2 3" xfId="35" xr:uid="{4B70AE46-1A0B-4A96-96FA-9FD96C583771}"/>
    <cellStyle name="Normal 35 3" xfId="26" xr:uid="{8E8E2D79-547D-4568-A200-AA80B9054D5E}"/>
    <cellStyle name="Normal 36" xfId="17" xr:uid="{56B09767-0BD8-463B-BB03-FF9C1135C8DF}"/>
    <cellStyle name="Normal 4" xfId="2" xr:uid="{35ED8FC6-258C-40CC-9EF7-B8DC0ED45AFF}"/>
    <cellStyle name="Normal 40" xfId="28" xr:uid="{2221C291-2849-4160-9E04-555426B62788}"/>
    <cellStyle name="Normal 43" xfId="12" xr:uid="{314D0081-5EB9-4558-9BE3-5964549BAFA5}"/>
    <cellStyle name="Normal 45" xfId="33" xr:uid="{E190E0AF-88C9-4A4C-BB85-20DDA899ABE0}"/>
    <cellStyle name="Normal 5" xfId="32" xr:uid="{1EF02928-437D-4E46-B306-FA1F0289F2D7}"/>
    <cellStyle name="Normal 7 2 3" xfId="7" xr:uid="{6BD25486-BED6-494D-8626-512E2085CA9B}"/>
    <cellStyle name="Normal_Postpago 26 Setiembre  (2) 2" xfId="3" xr:uid="{181CC04F-C1C2-4521-B33C-B0F986C102C3}"/>
    <cellStyle name="Porcentaje 2" xfId="4" xr:uid="{135FEECA-0444-4FDD-8EEF-15C51B32B2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embed.studio.binkies3d.com/live3d/69e12b92c7300c00376149f6" TargetMode="External"/><Relationship Id="rId18" Type="http://schemas.openxmlformats.org/officeDocument/2006/relationships/hyperlink" Target="https://embed.studio.binkies3d.com/live3d/69e12ccac7300c0037614b7e" TargetMode="External"/><Relationship Id="rId26" Type="http://schemas.openxmlformats.org/officeDocument/2006/relationships/hyperlink" Target="https://embed.studio.binkies3d.com/live3d/69e12e6da8d031003791f385" TargetMode="External"/><Relationship Id="rId39" Type="http://schemas.openxmlformats.org/officeDocument/2006/relationships/hyperlink" Target="https://embed.studio.binkies3d.com/live3d/69e1302274c82e003663df99" TargetMode="External"/><Relationship Id="rId21" Type="http://schemas.openxmlformats.org/officeDocument/2006/relationships/hyperlink" Target="https://embed.studio.binkies3d.com/live3d/69e12dada8d031003791f2d7" TargetMode="External"/><Relationship Id="rId34" Type="http://schemas.openxmlformats.org/officeDocument/2006/relationships/hyperlink" Target="https://embed.studio.binkies3d.com/live3d/69e12f7674c82e003663de73" TargetMode="External"/><Relationship Id="rId42" Type="http://schemas.openxmlformats.org/officeDocument/2006/relationships/hyperlink" Target="https://embed.studio.binkies3d.com/live3d/69e1309374c82e003663e051" TargetMode="External"/><Relationship Id="rId47" Type="http://schemas.openxmlformats.org/officeDocument/2006/relationships/hyperlink" Target="https://embed.studio.binkies3d.com/live3d/69e1320974c82e003663e48b" TargetMode="External"/><Relationship Id="rId50" Type="http://schemas.openxmlformats.org/officeDocument/2006/relationships/hyperlink" Target="https://embed.studio.binkies3d.com/live3d/69e132b0c7300c0037614e73" TargetMode="External"/><Relationship Id="rId55" Type="http://schemas.openxmlformats.org/officeDocument/2006/relationships/hyperlink" Target="https://embed.studio.binkies3d.com/live3d/69e1336874c82e003663e51a" TargetMode="External"/><Relationship Id="rId7" Type="http://schemas.openxmlformats.org/officeDocument/2006/relationships/hyperlink" Target="https://embed.studio.binkies3d.com/live3d/69e12945dd904d00377a06d8" TargetMode="External"/><Relationship Id="rId2" Type="http://schemas.openxmlformats.org/officeDocument/2006/relationships/hyperlink" Target="https://embed.studio.binkies3d.com/live3d/69e12831492f94003516cb26" TargetMode="External"/><Relationship Id="rId16" Type="http://schemas.openxmlformats.org/officeDocument/2006/relationships/hyperlink" Target="https://embed.studio.binkies3d.com/live3d/69e12c4bc7300c0037614a81" TargetMode="External"/><Relationship Id="rId29" Type="http://schemas.openxmlformats.org/officeDocument/2006/relationships/hyperlink" Target="https://embed.studio.binkies3d.com/live3d/69e12efb74c82e003663dd2c" TargetMode="External"/><Relationship Id="rId11" Type="http://schemas.openxmlformats.org/officeDocument/2006/relationships/hyperlink" Target="https://embed.studio.binkies3d.com/live3d/69e12ae6c7300c0037614948" TargetMode="External"/><Relationship Id="rId24" Type="http://schemas.openxmlformats.org/officeDocument/2006/relationships/hyperlink" Target="https://embed.studio.binkies3d.com/live3d/69e12e20c7300c0037614ca6" TargetMode="External"/><Relationship Id="rId32" Type="http://schemas.openxmlformats.org/officeDocument/2006/relationships/hyperlink" Target="https://embed.studio.binkies3d.com/live3d/69e12f4874c82e003663ddc0" TargetMode="External"/><Relationship Id="rId37" Type="http://schemas.openxmlformats.org/officeDocument/2006/relationships/hyperlink" Target="https://embed.studio.binkies3d.com/live3d/69e12fe8492f94003516cf18" TargetMode="External"/><Relationship Id="rId40" Type="http://schemas.openxmlformats.org/officeDocument/2006/relationships/hyperlink" Target="https://embed.studio.binkies3d.com/live3d/69e1303fa8d031003791f45f" TargetMode="External"/><Relationship Id="rId45" Type="http://schemas.openxmlformats.org/officeDocument/2006/relationships/hyperlink" Target="https://embed.studio.binkies3d.com/live3d/69e130dda8d031003791f4d0" TargetMode="External"/><Relationship Id="rId53" Type="http://schemas.openxmlformats.org/officeDocument/2006/relationships/hyperlink" Target="https://embed.studio.binkies3d.com/live3d/69e1331ec7300c0037614f57" TargetMode="External"/><Relationship Id="rId58" Type="http://schemas.openxmlformats.org/officeDocument/2006/relationships/hyperlink" Target="https://cdn-files.kimovil.com/default/0013/12/thumb_1211047_default_big.png" TargetMode="External"/><Relationship Id="rId5" Type="http://schemas.openxmlformats.org/officeDocument/2006/relationships/hyperlink" Target="https://embed.studio.binkies3d.com/live3d/69e129b874c82e003663da95" TargetMode="External"/><Relationship Id="rId61" Type="http://schemas.openxmlformats.org/officeDocument/2006/relationships/hyperlink" Target="https://embed.studio.binkies3d.com/live3d/69eaa43950dfff0035ea3e84" TargetMode="External"/><Relationship Id="rId19" Type="http://schemas.openxmlformats.org/officeDocument/2006/relationships/hyperlink" Target="https://embed.studio.binkies3d.com/live3d/69e12d20a8d031003791f2ac" TargetMode="External"/><Relationship Id="rId14" Type="http://schemas.openxmlformats.org/officeDocument/2006/relationships/hyperlink" Target="https://embed.studio.binkies3d.com/live3d/69e12bf5492f94003516cd5f" TargetMode="External"/><Relationship Id="rId22" Type="http://schemas.openxmlformats.org/officeDocument/2006/relationships/hyperlink" Target="https://embed.studio.binkies3d.com/live3d/69e12ddc74c82e003663dbda" TargetMode="External"/><Relationship Id="rId27" Type="http://schemas.openxmlformats.org/officeDocument/2006/relationships/hyperlink" Target="https://embed.studio.binkies3d.com/live3d/69e12e86c7300c0037614cff" TargetMode="External"/><Relationship Id="rId30" Type="http://schemas.openxmlformats.org/officeDocument/2006/relationships/hyperlink" Target="https://embed.studio.binkies3d.com/live3d/69e12f1374c82e003663dd6e" TargetMode="External"/><Relationship Id="rId35" Type="http://schemas.openxmlformats.org/officeDocument/2006/relationships/hyperlink" Target="https://embed.studio.binkies3d.com/live3d/69e12fa974c82e003663df1c" TargetMode="External"/><Relationship Id="rId43" Type="http://schemas.openxmlformats.org/officeDocument/2006/relationships/hyperlink" Target="https://embed.studio.binkies3d.com/live3d/69e130bc74c82e003663e0a6" TargetMode="External"/><Relationship Id="rId48" Type="http://schemas.openxmlformats.org/officeDocument/2006/relationships/hyperlink" Target="https://embed.studio.binkies3d.com/live3d/69e1322cc7300c0037614deb" TargetMode="External"/><Relationship Id="rId56" Type="http://schemas.openxmlformats.org/officeDocument/2006/relationships/hyperlink" Target="https://embed.studio.binkies3d.com/live3d/69e12f8b74c82e003663deb3" TargetMode="External"/><Relationship Id="rId8" Type="http://schemas.openxmlformats.org/officeDocument/2006/relationships/hyperlink" Target="https://embed.studio.binkies3d.com/live3d/69e128e8dd904d00377a0669" TargetMode="External"/><Relationship Id="rId51" Type="http://schemas.openxmlformats.org/officeDocument/2006/relationships/hyperlink" Target="https://embed.studio.binkies3d.com/live3d/69e132dcc7300c0037614ebe" TargetMode="External"/><Relationship Id="rId3" Type="http://schemas.openxmlformats.org/officeDocument/2006/relationships/hyperlink" Target="https://embed.studio.binkies3d.com/live3d/69e12831492f94003516cb26" TargetMode="External"/><Relationship Id="rId12" Type="http://schemas.openxmlformats.org/officeDocument/2006/relationships/hyperlink" Target="https://embed.studio.binkies3d.com/live3d/69e12b6dc7300c00376149a0" TargetMode="External"/><Relationship Id="rId17" Type="http://schemas.openxmlformats.org/officeDocument/2006/relationships/hyperlink" Target="https://embed.studio.binkies3d.com/live3d/69e12c8cc7300c0037614adf" TargetMode="External"/><Relationship Id="rId25" Type="http://schemas.openxmlformats.org/officeDocument/2006/relationships/hyperlink" Target="https://embed.studio.binkies3d.com/live3d/69e12e3fa8d031003791f32c" TargetMode="External"/><Relationship Id="rId33" Type="http://schemas.openxmlformats.org/officeDocument/2006/relationships/hyperlink" Target="https://embed.studio.binkies3d.com/live3d/69e12f5d74c82e003663de02" TargetMode="External"/><Relationship Id="rId38" Type="http://schemas.openxmlformats.org/officeDocument/2006/relationships/hyperlink" Target="https://embed.studio.binkies3d.com/live3d/69e12fff492f94003516cf6a" TargetMode="External"/><Relationship Id="rId46" Type="http://schemas.openxmlformats.org/officeDocument/2006/relationships/hyperlink" Target="https://embed.studio.binkies3d.com/live3d/69e131ddc7300c0037614da6" TargetMode="External"/><Relationship Id="rId59" Type="http://schemas.openxmlformats.org/officeDocument/2006/relationships/hyperlink" Target="https://embed.studio.binkies3d.com/live3d/69eaa3ac6556ec00373c46d6" TargetMode="External"/><Relationship Id="rId20" Type="http://schemas.openxmlformats.org/officeDocument/2006/relationships/hyperlink" Target="https://embed.studio.binkies3d.com/live3d/69e12d77c7300c0037614c47" TargetMode="External"/><Relationship Id="rId41" Type="http://schemas.openxmlformats.org/officeDocument/2006/relationships/hyperlink" Target="https://embed.studio.binkies3d.com/live3d/69e1307074c82e003663e011" TargetMode="External"/><Relationship Id="rId54" Type="http://schemas.openxmlformats.org/officeDocument/2006/relationships/hyperlink" Target="https://embed.studio.binkies3d.com/live3d/69e13340492f94003516d301" TargetMode="External"/><Relationship Id="rId1" Type="http://schemas.openxmlformats.org/officeDocument/2006/relationships/hyperlink" Target="https://embed.studio.binkies3d.com/live3d/69e114f643ca7a0036ed5b71" TargetMode="External"/><Relationship Id="rId6" Type="http://schemas.openxmlformats.org/officeDocument/2006/relationships/hyperlink" Target="https://embed.studio.binkies3d.com/live3d/69e129f8a8d031003791f1a7" TargetMode="External"/><Relationship Id="rId15" Type="http://schemas.openxmlformats.org/officeDocument/2006/relationships/hyperlink" Target="https://embed.studio.binkies3d.com/live3d/69e12c1ca8d031003791f20b" TargetMode="External"/><Relationship Id="rId23" Type="http://schemas.openxmlformats.org/officeDocument/2006/relationships/hyperlink" Target="https://embed.studio.binkies3d.com/live3d/69e12e0074c82e003663dc30" TargetMode="External"/><Relationship Id="rId28" Type="http://schemas.openxmlformats.org/officeDocument/2006/relationships/hyperlink" Target="https://embed.studio.binkies3d.com/live3d/69e12ed774c82e003663dcd3" TargetMode="External"/><Relationship Id="rId36" Type="http://schemas.openxmlformats.org/officeDocument/2006/relationships/hyperlink" Target="https://embed.studio.binkies3d.com/live3d/69e12fc4492f94003516cec6" TargetMode="External"/><Relationship Id="rId49" Type="http://schemas.openxmlformats.org/officeDocument/2006/relationships/hyperlink" Target="https://embed.studio.binkies3d.com/live3d/69e1322cc7300c0037614deb" TargetMode="External"/><Relationship Id="rId57" Type="http://schemas.openxmlformats.org/officeDocument/2006/relationships/hyperlink" Target="https://embed.studio.binkies3d.com/live3d/69eaa3746556ec00373c4694" TargetMode="External"/><Relationship Id="rId10" Type="http://schemas.openxmlformats.org/officeDocument/2006/relationships/hyperlink" Target="https://embed.studio.binkies3d.com/live3d/69e12ab0492f94003516cc8a" TargetMode="External"/><Relationship Id="rId31" Type="http://schemas.openxmlformats.org/officeDocument/2006/relationships/hyperlink" Target="https://embed.studio.binkies3d.com/live3d/69e12f2ca8d031003791f414" TargetMode="External"/><Relationship Id="rId44" Type="http://schemas.openxmlformats.org/officeDocument/2006/relationships/hyperlink" Target="https://embed.studio.binkies3d.com/live3d/69e130fb492f94003516d00d" TargetMode="External"/><Relationship Id="rId52" Type="http://schemas.openxmlformats.org/officeDocument/2006/relationships/hyperlink" Target="https://embed.studio.binkies3d.com/live3d/69e13301c7300c0037614f10" TargetMode="External"/><Relationship Id="rId60" Type="http://schemas.openxmlformats.org/officeDocument/2006/relationships/hyperlink" Target="https://embed.studio.binkies3d.com/live3d/69eaa41e6556ec00373c474b" TargetMode="External"/><Relationship Id="rId4" Type="http://schemas.openxmlformats.org/officeDocument/2006/relationships/hyperlink" Target="https://embed.studio.binkies3d.com/live3d/69e128bc492f94003516cb89" TargetMode="External"/><Relationship Id="rId9" Type="http://schemas.openxmlformats.org/officeDocument/2006/relationships/hyperlink" Target="https://embed.studio.binkies3d.com/live3d/69e12a7bc7300c00376148d6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cdn-files.kimovil.com/default/0011/69/thumb_1068745_default_big.jpg" TargetMode="External"/><Relationship Id="rId18" Type="http://schemas.openxmlformats.org/officeDocument/2006/relationships/hyperlink" Target="https://cdn-files.kimovil.com/phone_front/0009/21/thumb_820071_phone_front_big.jpg" TargetMode="External"/><Relationship Id="rId26" Type="http://schemas.openxmlformats.org/officeDocument/2006/relationships/hyperlink" Target="https://cdn-files.kimovil.com/phone_front/0011/100/thumb_1099875_phone_front_big.jpg" TargetMode="External"/><Relationship Id="rId39" Type="http://schemas.openxmlformats.org/officeDocument/2006/relationships/hyperlink" Target="https://cdn-files.kimovil.com/default/0012/71/thumb_1170343_default_big.jpg" TargetMode="External"/><Relationship Id="rId21" Type="http://schemas.openxmlformats.org/officeDocument/2006/relationships/hyperlink" Target="https://cdn-files.kimovil.com/default/0010/76/thumb_975724_default_big.jpg" TargetMode="External"/><Relationship Id="rId34" Type="http://schemas.openxmlformats.org/officeDocument/2006/relationships/hyperlink" Target="https://cdn-files.kimovil.com/phone_front/0012/18/thumb_1117990_phone_front_big.jpg" TargetMode="External"/><Relationship Id="rId42" Type="http://schemas.openxmlformats.org/officeDocument/2006/relationships/hyperlink" Target="https://miportal.entel.pe/static/010220261103474/images/ZTE_Nubia_Air_256GB_5G_Negro_Posterior_276x549.jpg" TargetMode="External"/><Relationship Id="rId47" Type="http://schemas.openxmlformats.org/officeDocument/2006/relationships/hyperlink" Target="https://cdn-files.kimovil.com/phone_front/0012/99/thumb_1198008_phone_front_big.jpg" TargetMode="External"/><Relationship Id="rId50" Type="http://schemas.openxmlformats.org/officeDocument/2006/relationships/hyperlink" Target="https://cdn-files.kimovil.com/phone_front/0013/21/thumb_1220366_phone_front_big.jpg" TargetMode="External"/><Relationship Id="rId55" Type="http://schemas.openxmlformats.org/officeDocument/2006/relationships/hyperlink" Target="https://claroperupoc.vtexassets.com/arquivos/ids/2956850/ZTE-NUBIA-V80-MAX-256GB-NEGRO-04.jpg?v=639105733666730000" TargetMode="External"/><Relationship Id="rId7" Type="http://schemas.openxmlformats.org/officeDocument/2006/relationships/hyperlink" Target="https://cdn-files.kimovil.com/default/0012/39/thumb_1138529_default_big.jpg" TargetMode="External"/><Relationship Id="rId2" Type="http://schemas.openxmlformats.org/officeDocument/2006/relationships/hyperlink" Target="https://cdn-files.kimovil.com/phone_front/0011/67/thumb_1066808_phone_front_big.jpg" TargetMode="External"/><Relationship Id="rId16" Type="http://schemas.openxmlformats.org/officeDocument/2006/relationships/hyperlink" Target="https://cdn-files.kimovil.com/phone_front/0012/34/thumb_1133088_phone_front_big.jpg" TargetMode="External"/><Relationship Id="rId29" Type="http://schemas.openxmlformats.org/officeDocument/2006/relationships/hyperlink" Target="https://cdn-files.kimovil.com/default/0012/73/thumb_1172793_default_big.jpg" TargetMode="External"/><Relationship Id="rId11" Type="http://schemas.openxmlformats.org/officeDocument/2006/relationships/hyperlink" Target="https://cdn-files.kimovil.com/default/0011/63/thumb_1062732_default_big.jpg" TargetMode="External"/><Relationship Id="rId24" Type="http://schemas.openxmlformats.org/officeDocument/2006/relationships/hyperlink" Target="https://cdn-files.kimovil.com/phone_front/0012/34/thumb_1133317_phone_front_big.jpg" TargetMode="External"/><Relationship Id="rId32" Type="http://schemas.openxmlformats.org/officeDocument/2006/relationships/hyperlink" Target="https://cdn-files.kimovil.com/phone_front/0012/28/thumb_1127187_phone_front_big.png" TargetMode="External"/><Relationship Id="rId37" Type="http://schemas.openxmlformats.org/officeDocument/2006/relationships/hyperlink" Target="https://cdn-files.kimovil.com/default/0012/71/thumb_1170322_default_big.jpg" TargetMode="External"/><Relationship Id="rId40" Type="http://schemas.openxmlformats.org/officeDocument/2006/relationships/hyperlink" Target="https://miportal.entel.pe/static/010220261103474/images/Oppo_A6x_256GB_5G_Morado_Posterior_276x549.jpg" TargetMode="External"/><Relationship Id="rId45" Type="http://schemas.openxmlformats.org/officeDocument/2006/relationships/hyperlink" Target="https://cdn-files.kimovil.com/phone_front/0012/99/thumb_1198485_phone_front_big.jpg" TargetMode="External"/><Relationship Id="rId53" Type="http://schemas.openxmlformats.org/officeDocument/2006/relationships/hyperlink" Target="https://cdn-files.kimovil.com/phone_front/0013/11/thumb_1210989_phone_front_big.jpg" TargetMode="External"/><Relationship Id="rId58" Type="http://schemas.openxmlformats.org/officeDocument/2006/relationships/hyperlink" Target="https://media.falabella.com/falabellaCO/73505040_2/w=1500,h=1500,fit=cover" TargetMode="External"/><Relationship Id="rId5" Type="http://schemas.openxmlformats.org/officeDocument/2006/relationships/hyperlink" Target="https://cdn-files.kimovil.com/phone_front/0012/39/thumb_1138492_phone_front_big.jpg" TargetMode="External"/><Relationship Id="rId19" Type="http://schemas.openxmlformats.org/officeDocument/2006/relationships/hyperlink" Target="https://cdn-files.kimovil.com/default/0009/21/thumb_820085_default_big.jpg" TargetMode="External"/><Relationship Id="rId4" Type="http://schemas.openxmlformats.org/officeDocument/2006/relationships/hyperlink" Target="https://cdn-files.kimovil.com/phone_front/0010/83/thumb_982541_phone_front_big.jpg" TargetMode="External"/><Relationship Id="rId9" Type="http://schemas.openxmlformats.org/officeDocument/2006/relationships/hyperlink" Target="https://cdn-files.kimovil.com/default/0012/39/thumb_1138592_default_big.jpg" TargetMode="External"/><Relationship Id="rId14" Type="http://schemas.openxmlformats.org/officeDocument/2006/relationships/hyperlink" Target="https://cdn-files.kimovil.com/phone_front/0012/19/thumb_1118999_phone_front_big.jpg" TargetMode="External"/><Relationship Id="rId22" Type="http://schemas.openxmlformats.org/officeDocument/2006/relationships/hyperlink" Target="https://cdn-files.kimovil.com/phone_front/0012/31/thumb_1130631_phone_front_big.png" TargetMode="External"/><Relationship Id="rId27" Type="http://schemas.openxmlformats.org/officeDocument/2006/relationships/hyperlink" Target="https://singerwebcdn.azureedge.net/resources/products/normal/ZTE-A36-2-64GB-GLD-03.webp" TargetMode="External"/><Relationship Id="rId30" Type="http://schemas.openxmlformats.org/officeDocument/2006/relationships/hyperlink" Target="https://cdn-files.kimovil.com/phone_front/0012/71/thumb_1170287_phone_front_big.jpg" TargetMode="External"/><Relationship Id="rId35" Type="http://schemas.openxmlformats.org/officeDocument/2006/relationships/hyperlink" Target="https://cdn-files.kimovil.com/default/0012/28/thumb_1127182_default_big.png" TargetMode="External"/><Relationship Id="rId43" Type="http://schemas.openxmlformats.org/officeDocument/2006/relationships/hyperlink" Target="https://coolboxpe.vtexassets.com/arquivos/ids/515446-800-800?v=639033347686070000&amp;width=800&amp;height=800&amp;aspect=true" TargetMode="External"/><Relationship Id="rId48" Type="http://schemas.openxmlformats.org/officeDocument/2006/relationships/hyperlink" Target="https://cdn-files.kimovil.com/default/0012/99/thumb_1198015_default_big.jpg" TargetMode="External"/><Relationship Id="rId56" Type="http://schemas.openxmlformats.org/officeDocument/2006/relationships/hyperlink" Target="https://claroperupoc.vtexassets.com/arquivos/ids/2956848/ZTE-NUBIA-V80-MAX-256GB-NEGRO-02.jpg?v=639105733666430000" TargetMode="External"/><Relationship Id="rId8" Type="http://schemas.openxmlformats.org/officeDocument/2006/relationships/hyperlink" Target="https://cdn-files.kimovil.com/phone_front/0012/39/thumb_1138492_phone_front_big.jpg" TargetMode="External"/><Relationship Id="rId51" Type="http://schemas.openxmlformats.org/officeDocument/2006/relationships/hyperlink" Target="https://cdn-files.kimovil.com/default/0013/21/thumb_1220368_default_big.jpg" TargetMode="External"/><Relationship Id="rId3" Type="http://schemas.openxmlformats.org/officeDocument/2006/relationships/hyperlink" Target="https://cdn-files.kimovil.com/default/0011/67/thumb_1066804_default_big.jpg" TargetMode="External"/><Relationship Id="rId12" Type="http://schemas.openxmlformats.org/officeDocument/2006/relationships/hyperlink" Target="https://cdn-files.kimovil.com/phone_front/0011/65/thumb_1064761_phone_front_big.jpg" TargetMode="External"/><Relationship Id="rId17" Type="http://schemas.openxmlformats.org/officeDocument/2006/relationships/hyperlink" Target="https://cdn-files.kimovil.com/default/0012/34/thumb_1133078_default_big.jpg" TargetMode="External"/><Relationship Id="rId25" Type="http://schemas.openxmlformats.org/officeDocument/2006/relationships/hyperlink" Target="https://cdn-files.kimovil.com/default/0012/34/thumb_1133326_default_big.jpg" TargetMode="External"/><Relationship Id="rId33" Type="http://schemas.openxmlformats.org/officeDocument/2006/relationships/hyperlink" Target="https://www.oppostore.pe/_next/image?url=https%3A%2F%2Fperu.oppostores.com%2F2-1761339109402.webp&amp;w=1920&amp;q=75" TargetMode="External"/><Relationship Id="rId38" Type="http://schemas.openxmlformats.org/officeDocument/2006/relationships/hyperlink" Target="https://cdn-files.kimovil.com/phone_front/0012/71/thumb_1170336_phone_front_big.jpg" TargetMode="External"/><Relationship Id="rId46" Type="http://schemas.openxmlformats.org/officeDocument/2006/relationships/hyperlink" Target="https://cdn-files.kimovil.com/default/0012/99/thumb_1198482_default_big.jpg" TargetMode="External"/><Relationship Id="rId59" Type="http://schemas.openxmlformats.org/officeDocument/2006/relationships/hyperlink" Target="https://cdn-files.kimovil.com/phone_front/0012/71/thumb_1170286_phone_front_big.jpg" TargetMode="External"/><Relationship Id="rId20" Type="http://schemas.openxmlformats.org/officeDocument/2006/relationships/hyperlink" Target="https://cdn-files.kimovil.com/phone_front/0010/76/thumb_975708_phone_front_big.jpg" TargetMode="External"/><Relationship Id="rId41" Type="http://schemas.openxmlformats.org/officeDocument/2006/relationships/hyperlink" Target="https://miportal.entel.pe/static/010220261103474/images/ZTE_Nubia_Air_256GB_5G_Negro_Frontal_276x549.jpg" TargetMode="External"/><Relationship Id="rId54" Type="http://schemas.openxmlformats.org/officeDocument/2006/relationships/hyperlink" Target="https://cdn-files.kimovil.com/default/0013/12/thumb_1211002_default_big.jpg" TargetMode="External"/><Relationship Id="rId1" Type="http://schemas.openxmlformats.org/officeDocument/2006/relationships/hyperlink" Target="https://cdn-files.kimovil.com/phone_front/0011/82/thumb_1081106_phone_front_big.jpg" TargetMode="External"/><Relationship Id="rId6" Type="http://schemas.openxmlformats.org/officeDocument/2006/relationships/hyperlink" Target="https://cdn-files.kimovil.com/default/0011/15/thumb_1014575_default_big.jpg" TargetMode="External"/><Relationship Id="rId15" Type="http://schemas.openxmlformats.org/officeDocument/2006/relationships/hyperlink" Target="https://claroperupoc.vtexassets.com/arquivos/ids/2732537/SAMSUNG-GALAXY-A17-128GB-5G-03--1-.png?v=638977929439900000" TargetMode="External"/><Relationship Id="rId23" Type="http://schemas.openxmlformats.org/officeDocument/2006/relationships/hyperlink" Target="https://cdn-files.kimovil.com/default/0012/18/thumb_1117995_default_big.jpg" TargetMode="External"/><Relationship Id="rId28" Type="http://schemas.openxmlformats.org/officeDocument/2006/relationships/hyperlink" Target="https://cdn-files.kimovil.com/phone_front/0012/73/thumb_1172790_phone_front_big.jpg" TargetMode="External"/><Relationship Id="rId36" Type="http://schemas.openxmlformats.org/officeDocument/2006/relationships/hyperlink" Target="https://cdn-files.kimovil.com/phone_front/0012/71/thumb_1170334_phone_front_big.jpg" TargetMode="External"/><Relationship Id="rId49" Type="http://schemas.openxmlformats.org/officeDocument/2006/relationships/hyperlink" Target="https://cdn-files.kimovil.com/phone_front/0013/21/thumb_1220378_phone_front_big.jpg" TargetMode="External"/><Relationship Id="rId57" Type="http://schemas.openxmlformats.org/officeDocument/2006/relationships/hyperlink" Target="https://coolboxpe.vtexassets.com/arquivos/ids/534506/celular-zte-nubia-v80-pro-5g-256gb-8gb-ram-negro_6.jpg?v=639092978190170000" TargetMode="External"/><Relationship Id="rId10" Type="http://schemas.openxmlformats.org/officeDocument/2006/relationships/hyperlink" Target="https://cdn-files.kimovil.com/phone_front/0011/63/thumb_1062743_phone_front_big.jpg" TargetMode="External"/><Relationship Id="rId31" Type="http://schemas.openxmlformats.org/officeDocument/2006/relationships/hyperlink" Target="https://cdn-files.kimovil.com/default/0012/74/thumb_1173493_default_big.jpg" TargetMode="External"/><Relationship Id="rId44" Type="http://schemas.openxmlformats.org/officeDocument/2006/relationships/hyperlink" Target="https://coolboxpe.vtexassets.com/arquivos/ids/515447-800-800?v=639033347686070000&amp;width=800&amp;height=800&amp;aspect=true" TargetMode="External"/><Relationship Id="rId52" Type="http://schemas.openxmlformats.org/officeDocument/2006/relationships/hyperlink" Target="https://media.falabella.com/falabellaPE/152701282_01/w=1500,h=1500,fit=cov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4B7C4-95A7-47FE-B1D9-7090646F1DB4}">
  <sheetPr codeName="Hoja1"/>
  <dimension ref="A1:D29"/>
  <sheetViews>
    <sheetView showGridLines="0" zoomScaleNormal="100" workbookViewId="0">
      <selection activeCell="B12" sqref="B12"/>
    </sheetView>
  </sheetViews>
  <sheetFormatPr baseColWidth="10" defaultRowHeight="15"/>
  <cols>
    <col min="1" max="1" width="19.42578125" style="1" customWidth="1"/>
    <col min="2" max="2" width="30.28515625" bestFit="1" customWidth="1"/>
    <col min="3" max="3" width="34.140625" bestFit="1" customWidth="1"/>
    <col min="4" max="4" width="35.140625" bestFit="1" customWidth="1"/>
    <col min="7" max="7" width="11.140625" bestFit="1" customWidth="1"/>
  </cols>
  <sheetData>
    <row r="1" spans="1:4" ht="32.65" customHeight="1">
      <c r="A1" s="34" t="s">
        <v>442</v>
      </c>
      <c r="B1" s="34"/>
      <c r="C1" s="34"/>
      <c r="D1" s="34"/>
    </row>
    <row r="2" spans="1:4" ht="3.4" customHeight="1">
      <c r="B2" s="1"/>
      <c r="C2" s="1"/>
      <c r="D2" s="1"/>
    </row>
    <row r="3" spans="1:4" ht="16.350000000000001" customHeight="1">
      <c r="B3" s="35" t="s">
        <v>443</v>
      </c>
      <c r="C3" s="35"/>
      <c r="D3" s="35"/>
    </row>
    <row r="4" spans="1:4" ht="6.4" customHeight="1">
      <c r="B4" s="1"/>
      <c r="C4" s="1"/>
      <c r="D4" s="1"/>
    </row>
    <row r="5" spans="1:4" ht="15.75">
      <c r="B5" s="13" t="s">
        <v>444</v>
      </c>
      <c r="C5" s="13" t="s">
        <v>445</v>
      </c>
      <c r="D5" s="13" t="s">
        <v>446</v>
      </c>
    </row>
    <row r="6" spans="1:4">
      <c r="B6" s="15" t="s">
        <v>573</v>
      </c>
      <c r="C6" s="16" t="s">
        <v>28</v>
      </c>
      <c r="D6" s="15" t="s">
        <v>34</v>
      </c>
    </row>
    <row r="7" spans="1:4" ht="7.5" customHeight="1">
      <c r="B7" s="14"/>
      <c r="C7" s="1"/>
      <c r="D7" s="1"/>
    </row>
    <row r="8" spans="1:4" ht="15.75">
      <c r="A8" s="36" t="s">
        <v>447</v>
      </c>
      <c r="B8" s="36"/>
      <c r="C8" s="36"/>
      <c r="D8" s="36"/>
    </row>
    <row r="9" spans="1:4">
      <c r="A9" s="12" t="s">
        <v>448</v>
      </c>
      <c r="B9" s="12" t="str">
        <f>B6</f>
        <v>SAMSUNG GXY A17 128GB</v>
      </c>
      <c r="C9" s="12" t="str">
        <f>C6</f>
        <v>MOTOROLA G05 128GB</v>
      </c>
      <c r="D9" s="12" t="str">
        <f>D6</f>
        <v>SAMSUNG GXY A06 128GB</v>
      </c>
    </row>
    <row r="10" spans="1:4">
      <c r="A10" s="11" t="s">
        <v>452</v>
      </c>
      <c r="B10" s="17">
        <v>69.900000000000006</v>
      </c>
      <c r="C10" s="17">
        <v>69.900000000000006</v>
      </c>
      <c r="D10" s="17">
        <v>29.9</v>
      </c>
    </row>
    <row r="11" spans="1:4">
      <c r="A11" s="11" t="s">
        <v>451</v>
      </c>
      <c r="B11" s="1" cm="1">
        <f t="array" ref="B11">IFERROR(
  INDEX(Caracteristicas!$A:$AAB,
         _xlfn.XMATCH($B$9,Caracteristicas!$A:$A,0),
         _xlfn.XMATCH($A11,Caracteristicas!$1:$1,0)
  ),
"")</f>
        <v>639</v>
      </c>
      <c r="C11" s="1" cm="1">
        <f t="array" ref="C11">IFERROR(
  INDEX(Caracteristicas!$A:$AAB,
         _xlfn.XMATCH($C$9,Caracteristicas!$A:$A,0),
         _xlfn.XMATCH($A11,Caracteristicas!$1:$1,0)
  ),
"")</f>
        <v>349</v>
      </c>
      <c r="D11" s="1" cm="1">
        <f t="array" ref="D11">IFERROR(
  INDEX(Caracteristicas!$A:$AAB,
         _xlfn.XMATCH($D$9,Caracteristicas!$A:$A,0),
         _xlfn.XMATCH($A11,Caracteristicas!$1:$1,0)
  ),
"")</f>
        <v>349</v>
      </c>
    </row>
    <row r="12" spans="1:4">
      <c r="A12" s="11" t="s">
        <v>158</v>
      </c>
      <c r="B12" s="1" cm="1">
        <f t="array" ref="B12">IFERROR(
  INDEX(Caracteristicas!$A:$AAB,
         _xlfn.XMATCH($B$9,Caracteristicas!$A:$A,0),
         _xlfn.XMATCH($A12,Caracteristicas!$1:$1,0)
  ),
"")</f>
        <v>100</v>
      </c>
      <c r="C12" s="1" cm="1">
        <f t="array" ref="C12">IFERROR(
  INDEX(Caracteristicas!$A:$AAB,
         _xlfn.XMATCH($C$9,Caracteristicas!$A:$A,0),
         _xlfn.XMATCH($A12,Caracteristicas!$1:$1,0)
  ),
"")</f>
        <v>54</v>
      </c>
      <c r="D12" s="1" cm="1">
        <f t="array" ref="D12">IFERROR(
  INDEX(Caracteristicas!$A:$AAB,
         _xlfn.XMATCH($D$9,Caracteristicas!$A:$A,0),
         _xlfn.XMATCH($A12,Caracteristicas!$1:$1,0)
  ),
"")</f>
        <v>54</v>
      </c>
    </row>
    <row r="13" spans="1:4">
      <c r="A13" s="11" t="s">
        <v>144</v>
      </c>
      <c r="B13" s="1" t="str" cm="1">
        <f t="array" ref="B13">IFERROR(
  INDEX(Caracteristicas!$A:$AAB,
         _xlfn.XMATCH($B$9,Caracteristicas!$A:$A,0),
         _xlfn.XMATCH($A13,Caracteristicas!$1:$1,0)
  ),
"")</f>
        <v>6.7", FHD+, Super AMOLED</v>
      </c>
      <c r="C13" s="1" t="str" cm="1">
        <f t="array" ref="C13">IFERROR(
  INDEX(Caracteristicas!$A:$AAB,
         _xlfn.XMATCH($C$9,Caracteristicas!$A:$A,0),
         _xlfn.XMATCH($A13,Caracteristicas!$1:$1,0)
  ),
"")</f>
        <v>6.72", HD+, LCD</v>
      </c>
      <c r="D13" s="1" t="str" cm="1">
        <f t="array" ref="D13">IFERROR(
  INDEX(Caracteristicas!$A:$AAB,
         _xlfn.XMATCH($D$9,Caracteristicas!$A:$A,0),
         _xlfn.XMATCH($A13,Caracteristicas!$1:$1,0)
  ),
"")</f>
        <v>6.7", HD+, PLS</v>
      </c>
    </row>
    <row r="14" spans="1:4">
      <c r="A14" s="11" t="s">
        <v>156</v>
      </c>
      <c r="B14" s="1" t="str" cm="1">
        <f t="array" ref="B14">IFERROR(
  INDEX(Caracteristicas!$A:$AAB,
         _xlfn.XMATCH($B$9,Caracteristicas!$A:$A,0),
         _xlfn.XMATCH($A14,Caracteristicas!$1:$1,0)
  ),
"")</f>
        <v>190 g</v>
      </c>
      <c r="C14" s="1" t="str" cm="1">
        <f t="array" ref="C14">IFERROR(
  INDEX(Caracteristicas!$A:$AAB,
         _xlfn.XMATCH($C$9,Caracteristicas!$A:$A,0),
         _xlfn.XMATCH($A14,Caracteristicas!$1:$1,0)
  ),
"")</f>
        <v xml:space="preserve">189 g	</v>
      </c>
      <c r="D14" s="1" t="str" cm="1">
        <f t="array" ref="D14">IFERROR(
  INDEX(Caracteristicas!$A:$AAB,
         _xlfn.XMATCH($D$9,Caracteristicas!$A:$A,0),
         _xlfn.XMATCH($A14,Caracteristicas!$1:$1,0)
  ),
"")</f>
        <v xml:space="preserve">189 g	</v>
      </c>
    </row>
    <row r="15" spans="1:4">
      <c r="A15" s="11" t="s">
        <v>145</v>
      </c>
      <c r="B15" s="1" t="str" cm="1">
        <f t="array" ref="B15">IFERROR(
  INDEX(Caracteristicas!$A:$AAB,
         _xlfn.XMATCH($B$9,Caracteristicas!$A:$A,0),
         _xlfn.XMATCH($A15,Caracteristicas!$1:$1,0)
  ),
"")</f>
        <v>IP54</v>
      </c>
      <c r="C15" s="1" t="str" cm="1">
        <f t="array" ref="C15">IFERROR(
  INDEX(Caracteristicas!$A:$AAB,
         _xlfn.XMATCH($C$9,Caracteristicas!$A:$A,0),
         _xlfn.XMATCH($A15,Caracteristicas!$1:$1,0)
  ),
"")</f>
        <v>IP54</v>
      </c>
      <c r="D15" s="1" t="str" cm="1">
        <f t="array" ref="D15">IFERROR(
  INDEX(Caracteristicas!$A:$AAB,
         _xlfn.XMATCH($D$9,Caracteristicas!$A:$A,0),
         _xlfn.XMATCH($A15,Caracteristicas!$1:$1,0)
  ),
"")</f>
        <v>-</v>
      </c>
    </row>
    <row r="16" spans="1:4">
      <c r="A16" s="11" t="s">
        <v>167</v>
      </c>
      <c r="B16" s="1" t="str" cm="1">
        <f t="array" ref="B16">IFERROR(
  INDEX(Caracteristicas!$A:$AAB,
         _xlfn.XMATCH($B$9,Caracteristicas!$A:$A,0),
         _xlfn.XMATCH($A16,Caracteristicas!$1:$1,0)
  ),
"")</f>
        <v>90 Hz</v>
      </c>
      <c r="C16" s="1" t="str" cm="1">
        <f t="array" ref="C16">IFERROR(
  INDEX(Caracteristicas!$A:$AAB,
         _xlfn.XMATCH($C$9,Caracteristicas!$A:$A,0),
         _xlfn.XMATCH($A16,Caracteristicas!$1:$1,0)
  ),
"")</f>
        <v>90 Hz</v>
      </c>
      <c r="D16" s="1" t="str" cm="1">
        <f t="array" ref="D16">IFERROR(
  INDEX(Caracteristicas!$A:$AAB,
         _xlfn.XMATCH($D$9,Caracteristicas!$A:$A,0),
         _xlfn.XMATCH($A16,Caracteristicas!$1:$1,0)
  ),
"")</f>
        <v>60 Hz</v>
      </c>
    </row>
    <row r="17" spans="1:4">
      <c r="A17" s="11" t="s">
        <v>146</v>
      </c>
      <c r="B17" s="1" t="str" cm="1">
        <f t="array" ref="B17">IFERROR(
  INDEX(Caracteristicas!$A:$AAB,
         _xlfn.XMATCH($B$9,Caracteristicas!$A:$A,0),
         _xlfn.XMATCH($A17,Caracteristicas!$1:$1,0)
  ),
"")</f>
        <v>Exynos 1330 (5 nm)</v>
      </c>
      <c r="C17" s="1" t="str" cm="1">
        <f t="array" ref="C17">IFERROR(
  INDEX(Caracteristicas!$A:$AAB,
         _xlfn.XMATCH($C$9,Caracteristicas!$A:$A,0),
         _xlfn.XMATCH($A17,Caracteristicas!$1:$1,0)
  ),
"")</f>
        <v>G81 Extreme (12 nm)</v>
      </c>
      <c r="D17" s="1" t="str" cm="1">
        <f t="array" ref="D17">IFERROR(
  INDEX(Caracteristicas!$A:$AAB,
         _xlfn.XMATCH($D$9,Caracteristicas!$A:$A,0),
         _xlfn.XMATCH($A17,Caracteristicas!$1:$1,0)
  ),
"")</f>
        <v>Helio G85 (12 nm)</v>
      </c>
    </row>
    <row r="18" spans="1:4">
      <c r="A18" s="11" t="s">
        <v>196</v>
      </c>
      <c r="B18" s="1" t="str" cm="1">
        <f t="array" ref="B18">IFERROR(
  INDEX(Caracteristicas!$A:$AAB,
         _xlfn.XMATCH($B$9,Caracteristicas!$A:$A,0),
         _xlfn.XMATCH($A18,Caracteristicas!$1:$1,0)
  ),
"")</f>
        <v>419K</v>
      </c>
      <c r="C18" s="1" t="str" cm="1">
        <f t="array" ref="C18">IFERROR(
  INDEX(Caracteristicas!$A:$AAB,
         _xlfn.XMATCH($C$9,Caracteristicas!$A:$A,0),
         _xlfn.XMATCH($A18,Caracteristicas!$1:$1,0)
  ),
"")</f>
        <v>262K</v>
      </c>
      <c r="D18" s="1" t="str" cm="1">
        <f t="array" ref="D18">IFERROR(
  INDEX(Caracteristicas!$A:$AAB,
         _xlfn.XMATCH($D$9,Caracteristicas!$A:$A,0),
         _xlfn.XMATCH($A18,Caracteristicas!$1:$1,0)
  ),
"")</f>
        <v>225K</v>
      </c>
    </row>
    <row r="19" spans="1:4">
      <c r="A19" s="11" t="s">
        <v>1</v>
      </c>
      <c r="B19" s="1" t="str" cm="1">
        <f t="array" ref="B19">IFERROR(
  INDEX(Caracteristicas!$A:$AAB,
         _xlfn.XMATCH($B$9,Caracteristicas!$A:$A,0),
         _xlfn.XMATCH($A19,Caracteristicas!$1:$1,0)
  ),
"")</f>
        <v>8 GB (física) + hasta 8 GB (RAM Plus)</v>
      </c>
      <c r="C19" s="1" t="str" cm="1">
        <f t="array" ref="C19">IFERROR(
  INDEX(Caracteristicas!$A:$AAB,
         _xlfn.XMATCH($C$9,Caracteristicas!$A:$A,0),
         _xlfn.XMATCH($A19,Caracteristicas!$1:$1,0)
  ),
"")</f>
        <v>4 GB (física) + hasta 8 GB (RAM Boost)</v>
      </c>
      <c r="D19" s="1" t="str" cm="1">
        <f t="array" ref="D19">IFERROR(
  INDEX(Caracteristicas!$A:$AAB,
         _xlfn.XMATCH($D$9,Caracteristicas!$A:$A,0),
         _xlfn.XMATCH($A19,Caracteristicas!$1:$1,0)
  ),
"")</f>
        <v>4 GB (física) + hasta 4 GB (RAM Plus)</v>
      </c>
    </row>
    <row r="20" spans="1:4">
      <c r="A20" s="11" t="s">
        <v>147</v>
      </c>
      <c r="B20" s="1" t="str" cm="1">
        <f t="array" ref="B20">IFERROR(
  INDEX(Caracteristicas!$A:$AAB,
         _xlfn.XMATCH($B$9,Caracteristicas!$A:$A,0),
         _xlfn.XMATCH($A20,Caracteristicas!$1:$1,0)
  ),
"")</f>
        <v>128 GB</v>
      </c>
      <c r="C20" s="1" t="str" cm="1">
        <f t="array" ref="C20">IFERROR(
  INDEX(Caracteristicas!$A:$AAB,
         _xlfn.XMATCH($C$9,Caracteristicas!$A:$A,0),
         _xlfn.XMATCH($A20,Caracteristicas!$1:$1,0)
  ),
"")</f>
        <v>128 GB  eMMC 5.1</v>
      </c>
      <c r="D20" s="1" t="str" cm="1">
        <f t="array" ref="D20">IFERROR(
  INDEX(Caracteristicas!$A:$AAB,
         _xlfn.XMATCH($D$9,Caracteristicas!$A:$A,0),
         _xlfn.XMATCH($A20,Caracteristicas!$1:$1,0)
  ),
"")</f>
        <v>128 GB eMMC 5.1</v>
      </c>
    </row>
    <row r="21" spans="1:4">
      <c r="A21" s="11" t="s">
        <v>148</v>
      </c>
      <c r="B21" s="1" t="str" cm="1">
        <f t="array" ref="B21">IFERROR(
  INDEX(Caracteristicas!$A:$AAB,
         _xlfn.XMATCH($B$9,Caracteristicas!$A:$A,0),
         _xlfn.XMATCH($A21,Caracteristicas!$1:$1,0)
  ),
"")</f>
        <v>50 Mpx	(ƒ/ 1.8) + 5 Mpx	UGA (ƒ/ 2.2) + 2 Mpx MACRO (ƒ/ 2.4)</v>
      </c>
      <c r="C21" s="1" t="str" cm="1">
        <f t="array" ref="C21">IFERROR(
  INDEX(Caracteristicas!$A:$AAB,
         _xlfn.XMATCH($C$9,Caracteristicas!$A:$A,0),
         _xlfn.XMATCH($A21,Caracteristicas!$1:$1,0)
  ),
"")</f>
        <v>50 Mpx (ƒ/ 1.8) + Flicker Sensor</v>
      </c>
      <c r="D21" s="1" t="str" cm="1">
        <f t="array" ref="D21">IFERROR(
  INDEX(Caracteristicas!$A:$AAB,
         _xlfn.XMATCH($D$9,Caracteristicas!$A:$A,0),
         _xlfn.XMATCH($A21,Caracteristicas!$1:$1,0)
  ),
"")</f>
        <v>50 Mpx	(ƒ/ 1.8) + 2 Mpx	(ƒ/ 2.4)</v>
      </c>
    </row>
    <row r="22" spans="1:4">
      <c r="A22" s="11" t="s">
        <v>149</v>
      </c>
      <c r="B22" s="1" t="str" cm="1">
        <f t="array" ref="B22">IFERROR(
  INDEX(Caracteristicas!$A:$AAB,
         _xlfn.XMATCH($B$9,Caracteristicas!$A:$A,0),
         _xlfn.XMATCH($A22,Caracteristicas!$1:$1,0)
  ),
"")</f>
        <v>SI</v>
      </c>
      <c r="C22" s="1" t="str" cm="1">
        <f t="array" ref="C22">IFERROR(
  INDEX(Caracteristicas!$A:$AAB,
         _xlfn.XMATCH($C$9,Caracteristicas!$A:$A,0),
         _xlfn.XMATCH($A22,Caracteristicas!$1:$1,0)
  ),
"")</f>
        <v>NO</v>
      </c>
      <c r="D22" s="1" t="str" cm="1">
        <f t="array" ref="D22">IFERROR(
  INDEX(Caracteristicas!$A:$AAB,
         _xlfn.XMATCH($D$9,Caracteristicas!$A:$A,0),
         _xlfn.XMATCH($A22,Caracteristicas!$1:$1,0)
  ),
"")</f>
        <v>NO</v>
      </c>
    </row>
    <row r="23" spans="1:4">
      <c r="A23" s="11" t="s">
        <v>150</v>
      </c>
      <c r="B23" s="1" t="str" cm="1">
        <f t="array" ref="B23">IFERROR(
  INDEX(Caracteristicas!$A:$AAB,
         _xlfn.XMATCH($B$9,Caracteristicas!$A:$A,0),
         _xlfn.XMATCH($A23,Caracteristicas!$1:$1,0)
  ),
"")</f>
        <v>1080p@30fps</v>
      </c>
      <c r="C23" s="1" t="str" cm="1">
        <f t="array" ref="C23">IFERROR(
  INDEX(Caracteristicas!$A:$AAB,
         _xlfn.XMATCH($C$9,Caracteristicas!$A:$A,0),
         _xlfn.XMATCH($A23,Caracteristicas!$1:$1,0)
  ),
"")</f>
        <v>1080p@30fps</v>
      </c>
      <c r="D23" s="1" t="str" cm="1">
        <f t="array" ref="D23">IFERROR(
  INDEX(Caracteristicas!$A:$AAB,
         _xlfn.XMATCH($D$9,Caracteristicas!$A:$A,0),
         _xlfn.XMATCH($A23,Caracteristicas!$1:$1,0)
  ),
"")</f>
        <v>1080p@60fps</v>
      </c>
    </row>
    <row r="24" spans="1:4">
      <c r="A24" s="11" t="s">
        <v>151</v>
      </c>
      <c r="B24" s="1" t="str" cm="1">
        <f t="array" ref="B24">IFERROR(
  INDEX(Caracteristicas!$A:$AAB,
         _xlfn.XMATCH($B$9,Caracteristicas!$A:$A,0),
         _xlfn.XMATCH($A24,Caracteristicas!$1:$1,0)
  ),
"")</f>
        <v xml:space="preserve">13 Mpx	</v>
      </c>
      <c r="C24" s="1" t="str" cm="1">
        <f t="array" ref="C24">IFERROR(
  INDEX(Caracteristicas!$A:$AAB,
         _xlfn.XMATCH($C$9,Caracteristicas!$A:$A,0),
         _xlfn.XMATCH($A24,Caracteristicas!$1:$1,0)
  ),
"")</f>
        <v xml:space="preserve">8 Mpx	</v>
      </c>
      <c r="D24" s="1" t="str" cm="1">
        <f t="array" ref="D24">IFERROR(
  INDEX(Caracteristicas!$A:$AAB,
         _xlfn.XMATCH($D$9,Caracteristicas!$A:$A,0),
         _xlfn.XMATCH($A24,Caracteristicas!$1:$1,0)
  ),
"")</f>
        <v xml:space="preserve">8 Mpx	</v>
      </c>
    </row>
    <row r="25" spans="1:4">
      <c r="A25" s="11" t="s">
        <v>152</v>
      </c>
      <c r="B25" s="1" t="str" cm="1">
        <f t="array" ref="B25">IFERROR(
  INDEX(Caracteristicas!$A:$AAB,
         _xlfn.XMATCH($B$9,Caracteristicas!$A:$A,0),
         _xlfn.XMATCH($A25,Caracteristicas!$1:$1,0)
  ),
"")</f>
        <v>5000 mAh</v>
      </c>
      <c r="C25" s="1" t="str" cm="1">
        <f t="array" ref="C25">IFERROR(
  INDEX(Caracteristicas!$A:$AAB,
         _xlfn.XMATCH($C$9,Caracteristicas!$A:$A,0),
         _xlfn.XMATCH($A25,Caracteristicas!$1:$1,0)
  ),
"")</f>
        <v>5200 mAh</v>
      </c>
      <c r="D25" s="1" t="str" cm="1">
        <f t="array" ref="D25">IFERROR(
  INDEX(Caracteristicas!$A:$AAB,
         _xlfn.XMATCH($D$9,Caracteristicas!$A:$A,0),
         _xlfn.XMATCH($A25,Caracteristicas!$1:$1,0)
  ),
"")</f>
        <v>5000 mAh</v>
      </c>
    </row>
    <row r="26" spans="1:4">
      <c r="A26" s="11" t="s">
        <v>153</v>
      </c>
      <c r="B26" s="1" t="str" cm="1">
        <f t="array" ref="B26">IFERROR(
  INDEX(Caracteristicas!$A:$AAB,
         _xlfn.XMATCH($B$9,Caracteristicas!$A:$A,0),
         _xlfn.XMATCH($A26,Caracteristicas!$1:$1,0)
  ),
"")</f>
        <v xml:space="preserve">25.0W	</v>
      </c>
      <c r="C26" s="1" t="str" cm="1">
        <f t="array" ref="C26">IFERROR(
  INDEX(Caracteristicas!$A:$AAB,
         _xlfn.XMATCH($C$9,Caracteristicas!$A:$A,0),
         _xlfn.XMATCH($A26,Caracteristicas!$1:$1,0)
  ),
"")</f>
        <v xml:space="preserve">18.0W	</v>
      </c>
      <c r="D26" s="1" t="str" cm="1">
        <f t="array" ref="D26">IFERROR(
  INDEX(Caracteristicas!$A:$AAB,
         _xlfn.XMATCH($D$9,Caracteristicas!$A:$A,0),
         _xlfn.XMATCH($A26,Caracteristicas!$1:$1,0)
  ),
"")</f>
        <v xml:space="preserve">25.0W	</v>
      </c>
    </row>
    <row r="27" spans="1:4">
      <c r="A27" s="11" t="s">
        <v>154</v>
      </c>
      <c r="B27" s="1" t="str" cm="1">
        <f t="array" ref="B27">IFERROR(
  INDEX(Caracteristicas!$A:$AAB,
         _xlfn.XMATCH($B$9,Caracteristicas!$A:$A,0),
         _xlfn.XMATCH($A27,Caracteristicas!$1:$1,0)
  ),
"")</f>
        <v>NO</v>
      </c>
      <c r="C27" s="1" t="str" cm="1">
        <f t="array" ref="C27">IFERROR(
  INDEX(Caracteristicas!$A:$AAB,
         _xlfn.XMATCH($C$9,Caracteristicas!$A:$A,0),
         _xlfn.XMATCH($A27,Caracteristicas!$1:$1,0)
  ),
"")</f>
        <v>NO</v>
      </c>
      <c r="D27" s="1" t="str" cm="1">
        <f t="array" ref="D27">IFERROR(
  INDEX(Caracteristicas!$A:$AAB,
         _xlfn.XMATCH($D$9,Caracteristicas!$A:$A,0),
         _xlfn.XMATCH($A27,Caracteristicas!$1:$1,0)
  ),
"")</f>
        <v>NO</v>
      </c>
    </row>
    <row r="28" spans="1:4">
      <c r="A28" s="11" t="s">
        <v>155</v>
      </c>
      <c r="B28" s="1" cm="1">
        <f t="array" ref="B28">IFERROR(
  INDEX(Caracteristicas!$A:$AAB,
         _xlfn.XMATCH($B$9,Caracteristicas!$A:$A,0),
         _xlfn.XMATCH($A28,Caracteristicas!$1:$1,0)
  ),
"")</f>
        <v>5.3</v>
      </c>
      <c r="C28" s="1" cm="1">
        <f t="array" ref="C28">IFERROR(
  INDEX(Caracteristicas!$A:$AAB,
         _xlfn.XMATCH($C$9,Caracteristicas!$A:$A,0),
         _xlfn.XMATCH($A28,Caracteristicas!$1:$1,0)
  ),
"")</f>
        <v>5.4</v>
      </c>
      <c r="D28" s="1" cm="1">
        <f t="array" ref="D28">IFERROR(
  INDEX(Caracteristicas!$A:$AAB,
         _xlfn.XMATCH($D$9,Caracteristicas!$A:$A,0),
         _xlfn.XMATCH($A28,Caracteristicas!$1:$1,0)
  ),
"")</f>
        <v>5.3</v>
      </c>
    </row>
    <row r="29" spans="1:4">
      <c r="A29" s="11" t="s">
        <v>194</v>
      </c>
      <c r="B29" s="1" t="str" cm="1">
        <f t="array" ref="B29">IFERROR(
  INDEX(Caracteristicas!$A:$AAB,
         _xlfn.XMATCH($B$9,Caracteristicas!$A:$A,0),
         _xlfn.XMATCH($A29,Caracteristicas!$1:$1,0)
  ),
"")</f>
        <v>lateral</v>
      </c>
      <c r="C29" s="1" t="str" cm="1">
        <f t="array" ref="C29">IFERROR(
  INDEX(Caracteristicas!$A:$AAB,
         _xlfn.XMATCH($C$9,Caracteristicas!$A:$A,0),
         _xlfn.XMATCH($A29,Caracteristicas!$1:$1,0)
  ),
"")</f>
        <v>lateral</v>
      </c>
      <c r="D29" s="1" t="str" cm="1">
        <f t="array" ref="D29">IFERROR(
  INDEX(Caracteristicas!$A:$AAB,
         _xlfn.XMATCH($D$9,Caracteristicas!$A:$A,0),
         _xlfn.XMATCH($A29,Caracteristicas!$1:$1,0)
  ),
"")</f>
        <v>lateral</v>
      </c>
    </row>
  </sheetData>
  <mergeCells count="3">
    <mergeCell ref="A1:D1"/>
    <mergeCell ref="B3:D3"/>
    <mergeCell ref="A8:D8"/>
  </mergeCells>
  <phoneticPr fontId="5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5B448E-30BC-4C64-B167-EE2205B12598}">
          <x14:formula1>
            <xm:f>Caracteristicas!$AF$2:$AF$17</xm:f>
          </x14:formula1>
          <xm:sqref>B10:D10</xm:sqref>
        </x14:dataValidation>
        <x14:dataValidation type="list" allowBlank="1" showInputMessage="1" showErrorMessage="1" xr:uid="{553839D5-CD21-488C-B90D-D51B7287E63C}">
          <x14:formula1>
            <xm:f>Caracteristicas!$A$2:$A$60</xm:f>
          </x14:formula1>
          <xm:sqref>C6:D6</xm:sqref>
        </x14:dataValidation>
        <x14:dataValidation type="list" allowBlank="1" showInputMessage="1" showErrorMessage="1" xr:uid="{5C32640E-47D6-4D4D-B53D-2EEA748AF97B}">
          <x14:formula1>
            <xm:f>Caracteristicas!$A$2:$A$83</xm:f>
          </x14:formula1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CA8EC-C707-4F6F-8A6D-82A5122175EE}">
  <sheetPr codeName="Hoja3"/>
  <dimension ref="A1:AF63"/>
  <sheetViews>
    <sheetView tabSelected="1"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H43" sqref="H43"/>
    </sheetView>
  </sheetViews>
  <sheetFormatPr baseColWidth="10" defaultRowHeight="15"/>
  <cols>
    <col min="1" max="1" width="33.7109375" bestFit="1" customWidth="1"/>
    <col min="2" max="2" width="9.42578125" style="1" bestFit="1" customWidth="1"/>
    <col min="3" max="3" width="15.28515625" style="1" bestFit="1" customWidth="1"/>
    <col min="5" max="5" width="11" style="1"/>
    <col min="7" max="7" width="11" style="1"/>
    <col min="9" max="9" width="11" style="1"/>
    <col min="13" max="13" width="23.85546875" bestFit="1" customWidth="1"/>
    <col min="14" max="14" width="11" style="1"/>
    <col min="16" max="20" width="11" style="1"/>
    <col min="21" max="21" width="11.42578125" style="1"/>
    <col min="22" max="22" width="11" style="1"/>
    <col min="23" max="23" width="11.5703125" style="1" bestFit="1" customWidth="1"/>
    <col min="32" max="32" width="11" customWidth="1"/>
  </cols>
  <sheetData>
    <row r="1" spans="1:32">
      <c r="A1" t="s">
        <v>0</v>
      </c>
      <c r="B1" s="1" t="s">
        <v>157</v>
      </c>
      <c r="C1" s="1" t="s">
        <v>158</v>
      </c>
      <c r="D1" t="s">
        <v>144</v>
      </c>
      <c r="E1" s="1" t="s">
        <v>156</v>
      </c>
      <c r="F1" t="s">
        <v>145</v>
      </c>
      <c r="G1" s="1" t="s">
        <v>167</v>
      </c>
      <c r="H1" t="s">
        <v>146</v>
      </c>
      <c r="I1" s="1" t="s">
        <v>196</v>
      </c>
      <c r="J1" t="s">
        <v>1</v>
      </c>
      <c r="K1" t="s">
        <v>147</v>
      </c>
      <c r="L1" t="s">
        <v>466</v>
      </c>
      <c r="M1" t="s">
        <v>148</v>
      </c>
      <c r="N1" s="1" t="s">
        <v>149</v>
      </c>
      <c r="O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749</v>
      </c>
      <c r="V1" s="1" t="s">
        <v>194</v>
      </c>
      <c r="W1" s="1" t="s">
        <v>475</v>
      </c>
      <c r="AF1" t="s">
        <v>453</v>
      </c>
    </row>
    <row r="2" spans="1:32">
      <c r="A2" t="s">
        <v>23</v>
      </c>
      <c r="B2" s="1">
        <f>IFERROR(
  _xlfn.XLOOKUP("*"&amp;SUBSTITUTE(TRIM(A2)," ","*")&amp;"*", CAM!$A:$A, CAM!$K:$K, "", 2),
"")</f>
        <v>299</v>
      </c>
      <c r="C2" s="1">
        <f>IFERROR(
  _xlfn.XLOOKUP("*"&amp;SUBSTITUTE(TRIM(A2)," ","*")&amp;"*", CAM!$A:$A, CAM!$Z:$Z, "", 2),
"")/12</f>
        <v>46</v>
      </c>
      <c r="D2" t="s">
        <v>159</v>
      </c>
      <c r="E2" s="1" t="s">
        <v>163</v>
      </c>
      <c r="F2" s="1" t="s">
        <v>19</v>
      </c>
      <c r="G2" s="1" t="s">
        <v>169</v>
      </c>
      <c r="H2" t="s">
        <v>190</v>
      </c>
      <c r="I2" s="1" t="s">
        <v>495</v>
      </c>
      <c r="J2" t="s">
        <v>463</v>
      </c>
      <c r="K2" t="s">
        <v>171</v>
      </c>
      <c r="L2" t="s">
        <v>468</v>
      </c>
      <c r="M2" t="s">
        <v>178</v>
      </c>
      <c r="N2" s="1" t="s">
        <v>20</v>
      </c>
      <c r="O2" t="s">
        <v>176</v>
      </c>
      <c r="P2" s="1" t="s">
        <v>182</v>
      </c>
      <c r="Q2" s="1" t="s">
        <v>127</v>
      </c>
      <c r="R2" s="1" t="s">
        <v>187</v>
      </c>
      <c r="S2" s="1" t="s">
        <v>20</v>
      </c>
      <c r="T2" s="1">
        <v>5.0999999999999996</v>
      </c>
      <c r="U2" s="1" t="s">
        <v>20</v>
      </c>
      <c r="V2" s="1" t="s">
        <v>195</v>
      </c>
      <c r="W2" s="18" t="s">
        <v>483</v>
      </c>
      <c r="AF2">
        <v>29.9</v>
      </c>
    </row>
    <row r="3" spans="1:32">
      <c r="A3" t="s">
        <v>697</v>
      </c>
      <c r="B3" s="1">
        <f>IFERROR(
  _xlfn.XLOOKUP("*"&amp;SUBSTITUTE(TRIM(A3)," ","*")&amp;"*", CAM!$A:$A, CAM!$K:$K, "", 2),
"")</f>
        <v>399</v>
      </c>
      <c r="C3" s="1">
        <f>IFERROR(
  _xlfn.XLOOKUP("*"&amp;SUBSTITUTE(TRIM(A3)," ","*")&amp;"*", CAM!$A:$A, CAM!$Z:$Z, "", 2),
"")/12</f>
        <v>58</v>
      </c>
      <c r="D3" t="s">
        <v>699</v>
      </c>
      <c r="E3" s="1" t="s">
        <v>700</v>
      </c>
      <c r="F3" s="1" t="s">
        <v>19</v>
      </c>
      <c r="G3" s="1" t="s">
        <v>169</v>
      </c>
      <c r="H3" t="s">
        <v>701</v>
      </c>
      <c r="I3" s="1" t="s">
        <v>702</v>
      </c>
      <c r="J3" t="s">
        <v>463</v>
      </c>
      <c r="K3" t="s">
        <v>171</v>
      </c>
      <c r="L3" t="s">
        <v>468</v>
      </c>
      <c r="M3" t="s">
        <v>703</v>
      </c>
      <c r="N3" s="1" t="s">
        <v>20</v>
      </c>
      <c r="O3" t="s">
        <v>176</v>
      </c>
      <c r="P3" s="1" t="s">
        <v>182</v>
      </c>
      <c r="Q3" s="1" t="s">
        <v>704</v>
      </c>
      <c r="R3" s="1" t="s">
        <v>705</v>
      </c>
      <c r="S3" s="1" t="s">
        <v>20</v>
      </c>
      <c r="T3" s="1">
        <v>5.0999999999999996</v>
      </c>
      <c r="U3" s="1" t="s">
        <v>20</v>
      </c>
      <c r="V3" s="1" t="s">
        <v>195</v>
      </c>
      <c r="W3" s="18" t="s">
        <v>19</v>
      </c>
    </row>
    <row r="4" spans="1:32">
      <c r="A4" t="s">
        <v>24</v>
      </c>
      <c r="B4" s="1">
        <f>IFERROR(
  _xlfn.XLOOKUP("*"&amp;SUBSTITUTE(TRIM(A4)," ","*")&amp;"*", CAM!$A:$A, CAM!$K:$K, "", 2),
"")</f>
        <v>559</v>
      </c>
      <c r="C4" s="1">
        <f>IFERROR(
  _xlfn.XLOOKUP("*"&amp;SUBSTITUTE(TRIM(A4)," ","*")&amp;"*", CAM!$A:$A, CAM!$Z:$Z, "", 2),
"")/12</f>
        <v>82</v>
      </c>
      <c r="D4" t="s">
        <v>159</v>
      </c>
      <c r="E4" s="1" t="s">
        <v>164</v>
      </c>
      <c r="F4" t="s">
        <v>21</v>
      </c>
      <c r="G4" s="1" t="s">
        <v>102</v>
      </c>
      <c r="H4" t="s">
        <v>191</v>
      </c>
      <c r="I4" s="1" t="s">
        <v>496</v>
      </c>
      <c r="J4" t="s">
        <v>471</v>
      </c>
      <c r="K4" t="s">
        <v>172</v>
      </c>
      <c r="L4" t="s">
        <v>468</v>
      </c>
      <c r="M4" t="s">
        <v>180</v>
      </c>
      <c r="N4" s="1" t="s">
        <v>20</v>
      </c>
      <c r="O4" t="s">
        <v>176</v>
      </c>
      <c r="P4" s="1" t="s">
        <v>182</v>
      </c>
      <c r="Q4" s="1" t="s">
        <v>185</v>
      </c>
      <c r="R4" s="1" t="s">
        <v>188</v>
      </c>
      <c r="S4" s="1" t="s">
        <v>20</v>
      </c>
      <c r="T4" s="1">
        <v>5.0999999999999996</v>
      </c>
      <c r="U4" s="1" t="s">
        <v>20</v>
      </c>
      <c r="V4" s="1" t="s">
        <v>195</v>
      </c>
      <c r="W4" s="18" t="s">
        <v>483</v>
      </c>
      <c r="AF4">
        <v>39.9</v>
      </c>
    </row>
    <row r="5" spans="1:32">
      <c r="A5" t="s">
        <v>25</v>
      </c>
      <c r="B5" s="1">
        <f>IFERROR(
  _xlfn.XLOOKUP("*"&amp;SUBSTITUTE(TRIM(A5)," ","*")&amp;"*", CAM!$A:$A, CAM!$K:$K, "", 2),
"")</f>
        <v>679</v>
      </c>
      <c r="C5" s="1">
        <f>IFERROR(
  _xlfn.XLOOKUP("*"&amp;SUBSTITUTE(TRIM(A5)," ","*")&amp;"*", CAM!$A:$A, CAM!$Z:$Z, "", 2),
"")/12</f>
        <v>96</v>
      </c>
      <c r="D5" t="s">
        <v>161</v>
      </c>
      <c r="E5" s="1" t="s">
        <v>165</v>
      </c>
      <c r="F5" t="s">
        <v>21</v>
      </c>
      <c r="G5" s="1" t="s">
        <v>102</v>
      </c>
      <c r="H5" t="s">
        <v>192</v>
      </c>
      <c r="I5" s="1" t="s">
        <v>497</v>
      </c>
      <c r="J5" t="s">
        <v>464</v>
      </c>
      <c r="K5" t="s">
        <v>172</v>
      </c>
      <c r="L5" t="s">
        <v>19</v>
      </c>
      <c r="M5" t="s">
        <v>179</v>
      </c>
      <c r="N5" s="1" t="s">
        <v>20</v>
      </c>
      <c r="O5" t="s">
        <v>176</v>
      </c>
      <c r="P5" s="1" t="s">
        <v>183</v>
      </c>
      <c r="Q5" s="1" t="s">
        <v>184</v>
      </c>
      <c r="R5" s="1" t="s">
        <v>189</v>
      </c>
      <c r="S5" s="1" t="s">
        <v>20</v>
      </c>
      <c r="T5" s="1">
        <v>5.0999999999999996</v>
      </c>
      <c r="U5" s="1" t="s">
        <v>20</v>
      </c>
      <c r="V5" s="1" t="s">
        <v>195</v>
      </c>
      <c r="W5" s="18" t="s">
        <v>483</v>
      </c>
      <c r="AF5">
        <v>49.9</v>
      </c>
    </row>
    <row r="6" spans="1:32">
      <c r="A6" t="s">
        <v>648</v>
      </c>
      <c r="B6" s="1">
        <f>IFERROR(
  _xlfn.XLOOKUP("*"&amp;SUBSTITUTE(TRIM(A6)," ","*")&amp;"*", CAM!$A:$A, CAM!$K:$K, "", 2),
"")</f>
        <v>789</v>
      </c>
      <c r="C6" s="1">
        <f>IFERROR(
  _xlfn.XLOOKUP("*"&amp;SUBSTITUTE(TRIM(A6)," ","*")&amp;"*", CAM!$A:$A, CAM!$Z:$Z, "", 2),
"")/12</f>
        <v>118</v>
      </c>
      <c r="D6" t="s">
        <v>656</v>
      </c>
      <c r="E6" s="1" t="s">
        <v>655</v>
      </c>
      <c r="F6" t="s">
        <v>166</v>
      </c>
      <c r="G6" s="1" t="s">
        <v>102</v>
      </c>
      <c r="H6" t="s">
        <v>192</v>
      </c>
      <c r="I6" s="1" t="s">
        <v>657</v>
      </c>
      <c r="J6" t="s">
        <v>464</v>
      </c>
      <c r="K6" t="s">
        <v>172</v>
      </c>
      <c r="L6" t="s">
        <v>19</v>
      </c>
      <c r="M6" t="s">
        <v>658</v>
      </c>
      <c r="N6" s="1" t="s">
        <v>20</v>
      </c>
      <c r="O6" t="s">
        <v>176</v>
      </c>
      <c r="P6" s="1" t="s">
        <v>183</v>
      </c>
      <c r="Q6" s="1" t="s">
        <v>659</v>
      </c>
      <c r="R6" s="1" t="s">
        <v>189</v>
      </c>
      <c r="S6" s="1" t="s">
        <v>20</v>
      </c>
      <c r="T6" s="19">
        <v>5</v>
      </c>
      <c r="U6" s="19" t="s">
        <v>19</v>
      </c>
      <c r="V6" s="1" t="s">
        <v>195</v>
      </c>
      <c r="W6" s="18" t="s">
        <v>19</v>
      </c>
    </row>
    <row r="7" spans="1:32">
      <c r="A7" t="s">
        <v>26</v>
      </c>
      <c r="B7" s="1">
        <f>IFERROR(
  _xlfn.XLOOKUP("*"&amp;SUBSTITUTE(TRIM(A7)," ","*")&amp;"*", CAM!$A:$A, CAM!$K:$K, "", 2),
"")</f>
        <v>819</v>
      </c>
      <c r="C7" s="1">
        <f>IFERROR(
  _xlfn.XLOOKUP("*"&amp;SUBSTITUTE(TRIM(A7)," ","*")&amp;"*", CAM!$A:$A, CAM!$Z:$Z, "", 2),
"")/12</f>
        <v>119</v>
      </c>
      <c r="D7" t="s">
        <v>198</v>
      </c>
      <c r="E7" s="1" t="s">
        <v>197</v>
      </c>
      <c r="F7" t="s">
        <v>21</v>
      </c>
      <c r="G7" s="1" t="s">
        <v>102</v>
      </c>
      <c r="H7" t="s">
        <v>192</v>
      </c>
      <c r="I7" s="1" t="s">
        <v>497</v>
      </c>
      <c r="J7" t="s">
        <v>464</v>
      </c>
      <c r="K7" t="s">
        <v>172</v>
      </c>
      <c r="L7" t="s">
        <v>19</v>
      </c>
      <c r="M7" t="s">
        <v>199</v>
      </c>
      <c r="N7" s="1" t="s">
        <v>174</v>
      </c>
      <c r="O7" t="s">
        <v>176</v>
      </c>
      <c r="P7" s="1" t="s">
        <v>200</v>
      </c>
      <c r="Q7" s="1" t="s">
        <v>201</v>
      </c>
      <c r="R7" s="1" t="s">
        <v>189</v>
      </c>
      <c r="S7" s="1" t="s">
        <v>20</v>
      </c>
      <c r="T7" s="19">
        <v>5</v>
      </c>
      <c r="U7" s="19" t="s">
        <v>20</v>
      </c>
      <c r="V7" s="1" t="s">
        <v>144</v>
      </c>
      <c r="W7" s="18" t="s">
        <v>483</v>
      </c>
      <c r="AF7">
        <v>59.9</v>
      </c>
    </row>
    <row r="8" spans="1:32">
      <c r="A8" t="s">
        <v>22</v>
      </c>
      <c r="B8" s="1">
        <f>IFERROR(
  _xlfn.XLOOKUP("*"&amp;SUBSTITUTE(TRIM(A8)," ","*")&amp;"*", CAM!$A:$A, CAM!$K:$K, "", 2),
"")</f>
        <v>1119</v>
      </c>
      <c r="C8" s="1">
        <f>IFERROR(
  _xlfn.XLOOKUP("*"&amp;SUBSTITUTE(TRIM(A8)," ","*")&amp;"*", CAM!$A:$A, CAM!$Z:$Z, "", 2),
"")/12</f>
        <v>159</v>
      </c>
      <c r="D8" t="s">
        <v>160</v>
      </c>
      <c r="E8" s="1" t="s">
        <v>162</v>
      </c>
      <c r="F8" t="s">
        <v>166</v>
      </c>
      <c r="G8" s="1" t="s">
        <v>168</v>
      </c>
      <c r="H8" t="s">
        <v>193</v>
      </c>
      <c r="I8" s="1" t="s">
        <v>498</v>
      </c>
      <c r="J8" t="s">
        <v>464</v>
      </c>
      <c r="K8" t="s">
        <v>170</v>
      </c>
      <c r="L8" t="s">
        <v>19</v>
      </c>
      <c r="M8" t="s">
        <v>177</v>
      </c>
      <c r="N8" s="1" t="s">
        <v>174</v>
      </c>
      <c r="O8" t="s">
        <v>175</v>
      </c>
      <c r="P8" s="1" t="s">
        <v>181</v>
      </c>
      <c r="Q8" s="1" t="s">
        <v>126</v>
      </c>
      <c r="R8" s="1" t="s">
        <v>186</v>
      </c>
      <c r="S8" s="1" t="s">
        <v>20</v>
      </c>
      <c r="T8" s="1">
        <v>5.0999999999999996</v>
      </c>
      <c r="U8" s="1" t="s">
        <v>19</v>
      </c>
      <c r="V8" s="1" t="s">
        <v>144</v>
      </c>
      <c r="W8" s="33">
        <v>47849</v>
      </c>
      <c r="AF8">
        <v>69.900000000000006</v>
      </c>
    </row>
    <row r="9" spans="1:32">
      <c r="A9" t="s">
        <v>646</v>
      </c>
      <c r="B9" s="1">
        <f>IFERROR(
  _xlfn.XLOOKUP("*"&amp;SUBSTITUTE(TRIM(A9)," ","*")&amp;"*", CAM!$A:$A, CAM!$K:$K, "", 2),
"")</f>
        <v>1649</v>
      </c>
      <c r="C9" s="1">
        <f>IFERROR(
  _xlfn.XLOOKUP("*"&amp;SUBSTITUTE(TRIM(A9)," ","*")&amp;"*", CAM!$A:$A, CAM!$Z:$Z, "", 2),
"")/12</f>
        <v>240</v>
      </c>
      <c r="D9" t="s">
        <v>660</v>
      </c>
      <c r="E9" s="1" t="s">
        <v>532</v>
      </c>
      <c r="F9" s="22" t="s">
        <v>663</v>
      </c>
      <c r="G9" s="1" t="s">
        <v>168</v>
      </c>
      <c r="H9" s="22" t="s">
        <v>664</v>
      </c>
      <c r="I9" s="1" t="s">
        <v>661</v>
      </c>
      <c r="J9" t="s">
        <v>464</v>
      </c>
      <c r="K9" t="s">
        <v>170</v>
      </c>
      <c r="L9" t="s">
        <v>19</v>
      </c>
      <c r="M9" t="s">
        <v>177</v>
      </c>
      <c r="N9" s="1" t="s">
        <v>174</v>
      </c>
      <c r="O9" t="s">
        <v>175</v>
      </c>
      <c r="P9" s="1" t="s">
        <v>181</v>
      </c>
      <c r="Q9" s="1" t="s">
        <v>662</v>
      </c>
      <c r="R9" s="1" t="s">
        <v>186</v>
      </c>
      <c r="S9" s="1" t="s">
        <v>20</v>
      </c>
      <c r="T9" s="1">
        <v>5.2</v>
      </c>
      <c r="U9" s="1" t="s">
        <v>20</v>
      </c>
      <c r="V9" s="1" t="s">
        <v>144</v>
      </c>
      <c r="W9" s="33" t="s">
        <v>19</v>
      </c>
    </row>
    <row r="10" spans="1:32">
      <c r="A10" t="s">
        <v>563</v>
      </c>
      <c r="B10" s="1">
        <f>IFERROR(
  _xlfn.XLOOKUP("*"&amp;SUBSTITUTE(TRIM(A10)," ","*")&amp;"*", CAM!$A:$A, CAM!$K:$K, "", 2),
"")</f>
        <v>1109</v>
      </c>
      <c r="C10" s="1">
        <f>IFERROR(
  _xlfn.XLOOKUP("*"&amp;SUBSTITUTE(TRIM(A10)," ","*")&amp;"*", CAM!$A:$A, CAM!$Z:$Z, "", 2),
"")/12</f>
        <v>157</v>
      </c>
      <c r="D10" t="s">
        <v>564</v>
      </c>
      <c r="E10" s="1" t="s">
        <v>565</v>
      </c>
      <c r="F10" s="22" t="s">
        <v>566</v>
      </c>
      <c r="G10" s="1" t="s">
        <v>168</v>
      </c>
      <c r="H10" s="22" t="s">
        <v>572</v>
      </c>
      <c r="I10" s="1" t="s">
        <v>567</v>
      </c>
      <c r="J10" t="s">
        <v>464</v>
      </c>
      <c r="K10" t="s">
        <v>172</v>
      </c>
      <c r="L10" t="s">
        <v>19</v>
      </c>
      <c r="M10" t="s">
        <v>177</v>
      </c>
      <c r="N10" s="1" t="s">
        <v>20</v>
      </c>
      <c r="O10" t="s">
        <v>176</v>
      </c>
      <c r="P10" s="1" t="s">
        <v>181</v>
      </c>
      <c r="Q10" s="1" t="s">
        <v>568</v>
      </c>
      <c r="R10" s="1" t="s">
        <v>569</v>
      </c>
      <c r="S10" s="1" t="s">
        <v>20</v>
      </c>
      <c r="T10" s="1">
        <v>5.3</v>
      </c>
      <c r="U10" s="1" t="s">
        <v>20</v>
      </c>
      <c r="V10" s="1" t="s">
        <v>144</v>
      </c>
      <c r="W10" s="33" t="s">
        <v>19</v>
      </c>
    </row>
    <row r="11" spans="1:32">
      <c r="A11" t="s">
        <v>433</v>
      </c>
      <c r="B11" s="1">
        <f>IFERROR(
  _xlfn.XLOOKUP("*"&amp;SUBSTITUTE(TRIM(A11)," ","*")&amp;"*", CAM!$A:$A, CAM!$K:$K, "", 2),
"")</f>
        <v>1699</v>
      </c>
      <c r="C11" s="1">
        <f>IFERROR(
  _xlfn.XLOOKUP("*"&amp;SUBSTITUTE(TRIM(A11)," ","*")&amp;"*", CAM!$A:$A, CAM!$Z:$Z, "", 2),
"")/12</f>
        <v>241</v>
      </c>
      <c r="D11" t="s">
        <v>435</v>
      </c>
      <c r="E11" s="1" t="s">
        <v>434</v>
      </c>
      <c r="F11" t="s">
        <v>437</v>
      </c>
      <c r="G11" s="1" t="s">
        <v>168</v>
      </c>
      <c r="H11" t="s">
        <v>438</v>
      </c>
      <c r="I11" s="1" t="s">
        <v>499</v>
      </c>
      <c r="J11" t="s">
        <v>465</v>
      </c>
      <c r="K11" t="s">
        <v>439</v>
      </c>
      <c r="L11" t="s">
        <v>19</v>
      </c>
      <c r="M11" t="s">
        <v>440</v>
      </c>
      <c r="N11" s="1" t="s">
        <v>174</v>
      </c>
      <c r="O11" t="s">
        <v>175</v>
      </c>
      <c r="P11" s="1" t="s">
        <v>235</v>
      </c>
      <c r="Q11" s="1" t="s">
        <v>185</v>
      </c>
      <c r="R11" s="1" t="s">
        <v>186</v>
      </c>
      <c r="S11" s="1" t="s">
        <v>20</v>
      </c>
      <c r="T11" s="1">
        <v>5.4</v>
      </c>
      <c r="U11" s="1" t="s">
        <v>174</v>
      </c>
      <c r="V11" s="1" t="s">
        <v>144</v>
      </c>
      <c r="W11" s="33">
        <v>47969</v>
      </c>
      <c r="AF11">
        <v>79.900000000000006</v>
      </c>
    </row>
    <row r="12" spans="1:32">
      <c r="A12" t="s">
        <v>27</v>
      </c>
      <c r="B12" s="1">
        <f>IFERROR(
  _xlfn.XLOOKUP("*"&amp;SUBSTITUTE(TRIM(A12)," ","*")&amp;"*", CAM!$A:$A, CAM!$K:$K, "", 2),
"")</f>
        <v>1989</v>
      </c>
      <c r="C12" s="1">
        <f>IFERROR(
  _xlfn.XLOOKUP("*"&amp;SUBSTITUTE(TRIM(A12)," ","*")&amp;"*", CAM!$A:$A, CAM!$Z:$Z, "", 2),
"")/12</f>
        <v>253</v>
      </c>
      <c r="D12" t="s">
        <v>203</v>
      </c>
      <c r="E12" s="1" t="s">
        <v>197</v>
      </c>
      <c r="F12" t="s">
        <v>202</v>
      </c>
      <c r="G12" s="1" t="s">
        <v>204</v>
      </c>
      <c r="H12" t="s">
        <v>488</v>
      </c>
      <c r="I12" s="1" t="s">
        <v>500</v>
      </c>
      <c r="J12" t="s">
        <v>593</v>
      </c>
      <c r="K12" t="s">
        <v>171</v>
      </c>
      <c r="L12" t="s">
        <v>20</v>
      </c>
      <c r="M12" t="s">
        <v>205</v>
      </c>
      <c r="N12" s="1" t="s">
        <v>174</v>
      </c>
      <c r="O12" t="s">
        <v>175</v>
      </c>
      <c r="P12" s="1" t="s">
        <v>206</v>
      </c>
      <c r="Q12" s="1" t="s">
        <v>208</v>
      </c>
      <c r="R12" s="1" t="s">
        <v>207</v>
      </c>
      <c r="S12" s="1" t="s">
        <v>174</v>
      </c>
      <c r="T12" s="19">
        <v>5</v>
      </c>
      <c r="U12" s="19" t="s">
        <v>174</v>
      </c>
      <c r="V12" s="1" t="s">
        <v>20</v>
      </c>
      <c r="W12" s="33">
        <v>46753</v>
      </c>
      <c r="AF12">
        <v>99.9</v>
      </c>
    </row>
    <row r="13" spans="1:32">
      <c r="A13" t="s">
        <v>328</v>
      </c>
      <c r="B13" s="1">
        <f>IFERROR(
  _xlfn.XLOOKUP("*"&amp;SUBSTITUTE(TRIM(A13)," ","*")&amp;"*", CAM!$A:$A, CAM!$K:$K, "", 2),
"")</f>
        <v>2509</v>
      </c>
      <c r="C13" s="1">
        <f>IFERROR(
  _xlfn.XLOOKUP("*"&amp;SUBSTITUTE(TRIM(A13)," ","*")&amp;"*", CAM!$A:$A, CAM!$Z:$Z, "", 2),
"")/12</f>
        <v>355</v>
      </c>
      <c r="D13" t="s">
        <v>590</v>
      </c>
      <c r="E13" s="1" t="s">
        <v>565</v>
      </c>
      <c r="F13" t="s">
        <v>202</v>
      </c>
      <c r="G13" s="1" t="s">
        <v>204</v>
      </c>
      <c r="H13" t="s">
        <v>604</v>
      </c>
      <c r="I13" s="1" t="s">
        <v>591</v>
      </c>
      <c r="J13" t="s">
        <v>594</v>
      </c>
      <c r="K13" t="s">
        <v>595</v>
      </c>
      <c r="L13" t="s">
        <v>20</v>
      </c>
      <c r="M13" t="s">
        <v>596</v>
      </c>
      <c r="N13" s="1" t="s">
        <v>174</v>
      </c>
      <c r="O13" t="s">
        <v>175</v>
      </c>
      <c r="P13" s="1" t="s">
        <v>206</v>
      </c>
      <c r="Q13" s="1" t="s">
        <v>598</v>
      </c>
      <c r="R13" s="1" t="s">
        <v>222</v>
      </c>
      <c r="S13" s="1" t="s">
        <v>174</v>
      </c>
      <c r="T13" s="1">
        <v>5.3</v>
      </c>
      <c r="U13" s="1" t="s">
        <v>174</v>
      </c>
      <c r="V13" s="1" t="s">
        <v>20</v>
      </c>
      <c r="W13" s="20" t="s">
        <v>19</v>
      </c>
    </row>
    <row r="14" spans="1:32">
      <c r="A14" t="s">
        <v>379</v>
      </c>
      <c r="B14" s="1">
        <f>IFERROR(
  _xlfn.XLOOKUP("*"&amp;SUBSTITUTE(TRIM(A14)," ","*")&amp;"*", CAM!$A:$A, CAM!$K:$K, "", 2),
"")</f>
        <v>2939</v>
      </c>
      <c r="C14" s="1">
        <f>IFERROR(
  _xlfn.XLOOKUP("*"&amp;SUBSTITUTE(TRIM(A14)," ","*")&amp;"*", CAM!$A:$A, CAM!$Z:$Z, "", 2),
"")/12</f>
        <v>416</v>
      </c>
      <c r="D14" t="s">
        <v>590</v>
      </c>
      <c r="E14" s="1" t="s">
        <v>565</v>
      </c>
      <c r="F14" t="s">
        <v>202</v>
      </c>
      <c r="G14" s="1" t="s">
        <v>204</v>
      </c>
      <c r="H14" t="s">
        <v>605</v>
      </c>
      <c r="I14" s="1" t="s">
        <v>592</v>
      </c>
      <c r="J14" t="s">
        <v>600</v>
      </c>
      <c r="K14" t="s">
        <v>595</v>
      </c>
      <c r="L14" t="s">
        <v>20</v>
      </c>
      <c r="M14" t="s">
        <v>597</v>
      </c>
      <c r="N14" s="1" t="s">
        <v>174</v>
      </c>
      <c r="O14" t="s">
        <v>175</v>
      </c>
      <c r="P14" s="1" t="s">
        <v>206</v>
      </c>
      <c r="Q14" s="1" t="s">
        <v>599</v>
      </c>
      <c r="R14" s="1" t="s">
        <v>222</v>
      </c>
      <c r="S14" s="1" t="s">
        <v>174</v>
      </c>
      <c r="T14" s="1">
        <v>5.3</v>
      </c>
      <c r="U14" s="1" t="s">
        <v>174</v>
      </c>
      <c r="V14" s="1" t="s">
        <v>20</v>
      </c>
      <c r="W14" s="20" t="s">
        <v>19</v>
      </c>
    </row>
    <row r="15" spans="1:32">
      <c r="A15" t="s">
        <v>578</v>
      </c>
      <c r="B15" s="1">
        <f>IFERROR(
  _xlfn.XLOOKUP("*"&amp;SUBSTITUTE(TRIM(A15)," ","*")&amp;"*", CAM!$A:$A, CAM!$K:$K, "", 2),
"")</f>
        <v>3579</v>
      </c>
      <c r="C15" s="1">
        <f>IFERROR(
  _xlfn.XLOOKUP("*"&amp;SUBSTITUTE(TRIM(A15)," ","*")&amp;"*", CAM!$A:$A, CAM!$Z:$Z, "", 2),
"")/12</f>
        <v>507</v>
      </c>
      <c r="D15" t="s">
        <v>601</v>
      </c>
      <c r="E15" s="1" t="s">
        <v>602</v>
      </c>
      <c r="F15" t="s">
        <v>202</v>
      </c>
      <c r="G15" s="1" t="s">
        <v>168</v>
      </c>
      <c r="H15" t="s">
        <v>603</v>
      </c>
      <c r="I15" s="1" t="s">
        <v>606</v>
      </c>
      <c r="J15" t="s">
        <v>600</v>
      </c>
      <c r="K15" t="s">
        <v>607</v>
      </c>
      <c r="L15" t="s">
        <v>20</v>
      </c>
      <c r="M15" t="s">
        <v>597</v>
      </c>
      <c r="N15" s="1" t="s">
        <v>174</v>
      </c>
      <c r="O15" t="s">
        <v>608</v>
      </c>
      <c r="P15" s="1" t="s">
        <v>609</v>
      </c>
      <c r="Q15" s="1" t="s">
        <v>610</v>
      </c>
      <c r="R15" s="1" t="s">
        <v>222</v>
      </c>
      <c r="S15" s="1" t="s">
        <v>174</v>
      </c>
      <c r="T15" s="1">
        <v>6</v>
      </c>
      <c r="U15" s="1" t="s">
        <v>174</v>
      </c>
      <c r="V15" s="1" t="s">
        <v>20</v>
      </c>
      <c r="W15" s="20" t="s">
        <v>19</v>
      </c>
    </row>
    <row r="16" spans="1:32">
      <c r="A16" t="s">
        <v>765</v>
      </c>
      <c r="B16" s="1">
        <f>IFERROR(
  _xlfn.XLOOKUP("*"&amp;SUBSTITUTE(TRIM(A16)," ","*")&amp;"*", CAM!$A:$A, CAM!$K:$K, "", 2),
"")</f>
        <v>6139</v>
      </c>
      <c r="C16" s="1">
        <f>IFERROR(
  _xlfn.XLOOKUP("*"&amp;SUBSTITUTE(TRIM(A16)," ","*")&amp;"*", CAM!$A:$A, CAM!$Z:$Z, "", 2),
"")/12</f>
        <v>870</v>
      </c>
      <c r="D16" t="s">
        <v>830</v>
      </c>
      <c r="E16" s="1" t="s">
        <v>831</v>
      </c>
      <c r="F16" t="s">
        <v>202</v>
      </c>
      <c r="G16" s="1" t="s">
        <v>168</v>
      </c>
      <c r="H16" t="s">
        <v>832</v>
      </c>
      <c r="I16" s="1" t="s">
        <v>833</v>
      </c>
      <c r="J16" t="s">
        <v>834</v>
      </c>
      <c r="K16" t="s">
        <v>835</v>
      </c>
      <c r="L16" t="s">
        <v>20</v>
      </c>
      <c r="M16" t="s">
        <v>836</v>
      </c>
      <c r="N16" s="1" t="s">
        <v>174</v>
      </c>
      <c r="O16" t="s">
        <v>608</v>
      </c>
      <c r="P16" s="1" t="s">
        <v>609</v>
      </c>
      <c r="Q16" s="1" t="s">
        <v>837</v>
      </c>
      <c r="R16" s="1" t="s">
        <v>838</v>
      </c>
      <c r="S16" s="1" t="s">
        <v>839</v>
      </c>
      <c r="T16" s="1">
        <v>6</v>
      </c>
      <c r="U16" s="1" t="s">
        <v>174</v>
      </c>
      <c r="V16" s="1" t="s">
        <v>840</v>
      </c>
      <c r="W16" s="20" t="s">
        <v>841</v>
      </c>
    </row>
    <row r="17" spans="1:32">
      <c r="A17" t="s">
        <v>28</v>
      </c>
      <c r="B17" s="1">
        <f>IFERROR(
  _xlfn.XLOOKUP("*"&amp;SUBSTITUTE(TRIM(A17)," ","*")&amp;"*", CAM!$A:$A, CAM!$K:$K, "", 2),
"")</f>
        <v>349</v>
      </c>
      <c r="C17" s="1">
        <f>IFERROR(
  _xlfn.XLOOKUP("*"&amp;SUBSTITUTE(TRIM(A17)," ","*")&amp;"*", CAM!$A:$A, CAM!$Z:$Z, "", 2),
"")/12</f>
        <v>54</v>
      </c>
      <c r="D17" t="s">
        <v>209</v>
      </c>
      <c r="E17" s="1" t="s">
        <v>162</v>
      </c>
      <c r="F17" t="s">
        <v>17</v>
      </c>
      <c r="G17" s="1" t="s">
        <v>169</v>
      </c>
      <c r="H17" t="s">
        <v>214</v>
      </c>
      <c r="I17" s="1" t="s">
        <v>501</v>
      </c>
      <c r="J17" t="s">
        <v>461</v>
      </c>
      <c r="K17" t="s">
        <v>216</v>
      </c>
      <c r="L17" t="s">
        <v>468</v>
      </c>
      <c r="M17" t="s">
        <v>462</v>
      </c>
      <c r="N17" s="1" t="s">
        <v>20</v>
      </c>
      <c r="O17" t="s">
        <v>176</v>
      </c>
      <c r="P17" s="1" t="s">
        <v>220</v>
      </c>
      <c r="Q17" s="1" t="s">
        <v>127</v>
      </c>
      <c r="R17" s="1" t="s">
        <v>222</v>
      </c>
      <c r="S17" s="1" t="s">
        <v>20</v>
      </c>
      <c r="T17" s="1">
        <v>5.4</v>
      </c>
      <c r="U17" s="1" t="s">
        <v>20</v>
      </c>
      <c r="V17" s="1" t="s">
        <v>195</v>
      </c>
      <c r="W17" s="20">
        <v>46784</v>
      </c>
      <c r="AF17" t="s">
        <v>454</v>
      </c>
    </row>
    <row r="18" spans="1:32">
      <c r="A18" t="s">
        <v>639</v>
      </c>
      <c r="B18" s="1">
        <f>IFERROR(
  _xlfn.XLOOKUP("*"&amp;SUBSTITUTE(TRIM(A18)," ","*")&amp;"*", CAM!$A:$A, CAM!$K:$K, "", 2),
"")</f>
        <v>319</v>
      </c>
      <c r="C18" s="1">
        <f>IFERROR(
  _xlfn.XLOOKUP("*"&amp;SUBSTITUTE(TRIM(A18)," ","*")&amp;"*", CAM!$A:$A, CAM!$Z:$Z, "", 2),
"")/12</f>
        <v>47</v>
      </c>
      <c r="D18" t="s">
        <v>209</v>
      </c>
      <c r="E18" s="1" t="s">
        <v>163</v>
      </c>
      <c r="F18" t="s">
        <v>21</v>
      </c>
      <c r="G18" s="1" t="s">
        <v>168</v>
      </c>
      <c r="H18" t="s">
        <v>214</v>
      </c>
      <c r="I18" s="1" t="s">
        <v>501</v>
      </c>
      <c r="J18" t="s">
        <v>461</v>
      </c>
      <c r="K18" t="s">
        <v>216</v>
      </c>
      <c r="L18" t="s">
        <v>468</v>
      </c>
      <c r="M18" t="s">
        <v>640</v>
      </c>
      <c r="N18" s="1" t="s">
        <v>20</v>
      </c>
      <c r="O18" t="s">
        <v>176</v>
      </c>
      <c r="P18" s="1" t="s">
        <v>220</v>
      </c>
      <c r="Q18" s="1" t="s">
        <v>127</v>
      </c>
      <c r="R18" s="1" t="s">
        <v>222</v>
      </c>
      <c r="S18" s="1" t="s">
        <v>20</v>
      </c>
      <c r="T18" s="1">
        <v>5.4</v>
      </c>
      <c r="U18" s="1" t="s">
        <v>20</v>
      </c>
      <c r="V18" s="1" t="s">
        <v>195</v>
      </c>
      <c r="W18" s="20" t="s">
        <v>641</v>
      </c>
    </row>
    <row r="19" spans="1:32">
      <c r="A19" t="s">
        <v>29</v>
      </c>
      <c r="B19" s="1">
        <f>IFERROR(
  _xlfn.XLOOKUP("*"&amp;SUBSTITUTE(TRIM(A19)," ","*")&amp;"*", CAM!$A:$A, CAM!$K:$K, "", 2),
"")</f>
        <v>379</v>
      </c>
      <c r="C19" s="1">
        <f>IFERROR(
  _xlfn.XLOOKUP("*"&amp;SUBSTITUTE(TRIM(A19)," ","*")&amp;"*", CAM!$A:$A, CAM!$Z:$Z, "", 2),
"")/12</f>
        <v>54</v>
      </c>
      <c r="D19" t="s">
        <v>213</v>
      </c>
      <c r="E19" s="1" t="s">
        <v>211</v>
      </c>
      <c r="F19" t="s">
        <v>17</v>
      </c>
      <c r="G19" s="1" t="s">
        <v>204</v>
      </c>
      <c r="H19" t="s">
        <v>214</v>
      </c>
      <c r="I19" s="1" t="s">
        <v>503</v>
      </c>
      <c r="J19" t="s">
        <v>461</v>
      </c>
      <c r="K19" t="s">
        <v>217</v>
      </c>
      <c r="L19" t="s">
        <v>19</v>
      </c>
      <c r="M19" t="s">
        <v>218</v>
      </c>
      <c r="N19" s="1" t="s">
        <v>20</v>
      </c>
      <c r="O19" t="s">
        <v>176</v>
      </c>
      <c r="P19" s="1" t="s">
        <v>220</v>
      </c>
      <c r="Q19" s="1" t="s">
        <v>127</v>
      </c>
      <c r="R19" s="1" t="s">
        <v>460</v>
      </c>
      <c r="S19" s="1" t="s">
        <v>20</v>
      </c>
      <c r="T19" s="19">
        <v>5.4</v>
      </c>
      <c r="U19" s="19" t="s">
        <v>174</v>
      </c>
      <c r="V19" s="1" t="s">
        <v>195</v>
      </c>
      <c r="W19" s="18" t="s">
        <v>478</v>
      </c>
    </row>
    <row r="20" spans="1:32">
      <c r="A20" t="s">
        <v>825</v>
      </c>
      <c r="B20" s="1">
        <f>IFERROR(
  _xlfn.XLOOKUP("*"&amp;SUBSTITUTE(TRIM(A20)," ","*")&amp;"*", CAM!$A:$A, CAM!$K:$K, "", 2),
"")</f>
        <v>599</v>
      </c>
      <c r="C20" s="1">
        <f>IFERROR(
  _xlfn.XLOOKUP("*"&amp;SUBSTITUTE(TRIM(A20)," ","*")&amp;"*", CAM!$A:$A, CAM!$Z:$Z, "", 2),
"")/12</f>
        <v>85</v>
      </c>
      <c r="D20" t="s">
        <v>213</v>
      </c>
      <c r="E20" s="1" t="s">
        <v>211</v>
      </c>
      <c r="F20" t="s">
        <v>21</v>
      </c>
      <c r="G20" s="1" t="s">
        <v>169</v>
      </c>
      <c r="H20" t="s">
        <v>214</v>
      </c>
      <c r="I20" s="1" t="s">
        <v>503</v>
      </c>
      <c r="J20" t="s">
        <v>461</v>
      </c>
      <c r="K20" t="s">
        <v>217</v>
      </c>
      <c r="L20" t="s">
        <v>19</v>
      </c>
      <c r="M20" t="s">
        <v>724</v>
      </c>
      <c r="N20" s="1" t="s">
        <v>20</v>
      </c>
      <c r="O20" t="s">
        <v>176</v>
      </c>
      <c r="P20" s="1" t="s">
        <v>221</v>
      </c>
      <c r="Q20" s="1" t="s">
        <v>127</v>
      </c>
      <c r="R20" s="1" t="s">
        <v>222</v>
      </c>
      <c r="S20" s="1" t="s">
        <v>20</v>
      </c>
      <c r="T20" s="19">
        <v>5.4</v>
      </c>
      <c r="U20" s="19" t="s">
        <v>20</v>
      </c>
      <c r="V20" s="1" t="s">
        <v>195</v>
      </c>
      <c r="W20" s="18" t="s">
        <v>19</v>
      </c>
    </row>
    <row r="21" spans="1:32">
      <c r="A21" t="s">
        <v>30</v>
      </c>
      <c r="B21" s="1">
        <f>IFERROR(
  _xlfn.XLOOKUP("*"&amp;SUBSTITUTE(TRIM(A21)," ","*")&amp;"*", CAM!$A:$A, CAM!$K:$K, "", 2),
"")</f>
        <v>739</v>
      </c>
      <c r="C21" s="1">
        <f>IFERROR(
  _xlfn.XLOOKUP("*"&amp;SUBSTITUTE(TRIM(A21)," ","*")&amp;"*", CAM!$A:$A, CAM!$Z:$Z, "", 2),
"")/12</f>
        <v>121</v>
      </c>
      <c r="D21" t="s">
        <v>213</v>
      </c>
      <c r="E21" s="1" t="s">
        <v>212</v>
      </c>
      <c r="F21" t="s">
        <v>210</v>
      </c>
      <c r="G21" s="1" t="s">
        <v>168</v>
      </c>
      <c r="H21" t="s">
        <v>215</v>
      </c>
      <c r="I21" s="1" t="s">
        <v>502</v>
      </c>
      <c r="J21" t="s">
        <v>469</v>
      </c>
      <c r="K21" t="s">
        <v>232</v>
      </c>
      <c r="L21" t="s">
        <v>467</v>
      </c>
      <c r="M21" t="s">
        <v>219</v>
      </c>
      <c r="N21" s="1" t="s">
        <v>174</v>
      </c>
      <c r="O21" t="s">
        <v>176</v>
      </c>
      <c r="P21" s="1" t="s">
        <v>221</v>
      </c>
      <c r="Q21" s="1" t="s">
        <v>127</v>
      </c>
      <c r="R21" s="1" t="s">
        <v>223</v>
      </c>
      <c r="S21" s="1" t="s">
        <v>20</v>
      </c>
      <c r="T21" s="1">
        <v>5.3</v>
      </c>
      <c r="U21" s="1" t="s">
        <v>174</v>
      </c>
      <c r="V21" s="1" t="s">
        <v>195</v>
      </c>
      <c r="W21" s="18" t="s">
        <v>479</v>
      </c>
    </row>
    <row r="22" spans="1:32">
      <c r="A22" t="s">
        <v>719</v>
      </c>
      <c r="B22" s="1">
        <f>IFERROR(
  _xlfn.XLOOKUP("*"&amp;SUBSTITUTE(TRIM(A22)," ","*")&amp;"*", CAM!$A:$A, CAM!$K:$K, "", 2),
"")</f>
        <v>919</v>
      </c>
      <c r="C22" s="1">
        <f>IFERROR(
  _xlfn.XLOOKUP("*"&amp;SUBSTITUTE(TRIM(A22)," ","*")&amp;"*", CAM!$A:$A, CAM!$Z:$Z, "", 2),
"")/12</f>
        <v>134</v>
      </c>
      <c r="D22" t="s">
        <v>677</v>
      </c>
      <c r="E22" s="1" t="s">
        <v>712</v>
      </c>
      <c r="F22" s="22" t="s">
        <v>713</v>
      </c>
      <c r="G22" s="1" t="s">
        <v>168</v>
      </c>
      <c r="H22" s="22" t="s">
        <v>714</v>
      </c>
      <c r="I22" s="1" t="s">
        <v>715</v>
      </c>
      <c r="J22" t="s">
        <v>469</v>
      </c>
      <c r="K22" t="s">
        <v>232</v>
      </c>
      <c r="L22" t="s">
        <v>467</v>
      </c>
      <c r="M22" t="s">
        <v>716</v>
      </c>
      <c r="N22" s="1" t="s">
        <v>174</v>
      </c>
      <c r="O22" t="s">
        <v>176</v>
      </c>
      <c r="P22" s="1" t="s">
        <v>221</v>
      </c>
      <c r="Q22" s="1" t="s">
        <v>127</v>
      </c>
      <c r="R22" s="1" t="s">
        <v>223</v>
      </c>
      <c r="S22" s="1" t="s">
        <v>20</v>
      </c>
      <c r="T22" s="1">
        <v>5.4</v>
      </c>
      <c r="U22" s="1" t="s">
        <v>174</v>
      </c>
      <c r="V22" s="1" t="s">
        <v>144</v>
      </c>
      <c r="W22" s="18" t="s">
        <v>479</v>
      </c>
    </row>
    <row r="23" spans="1:32">
      <c r="A23" t="s">
        <v>422</v>
      </c>
      <c r="B23" s="1">
        <f>IFERROR(
  _xlfn.XLOOKUP("*"&amp;SUBSTITUTE(TRIM(A23)," ","*")&amp;"*", CAM!$A:$A, CAM!$K:$K, "", 2),
"")</f>
        <v>1039</v>
      </c>
      <c r="C23" s="1">
        <f>IFERROR(
  _xlfn.XLOOKUP("*"&amp;SUBSTITUTE(TRIM(A23)," ","*")&amp;"*", CAM!$A:$A, CAM!$Z:$Z, "", 2),
"")/12</f>
        <v>147</v>
      </c>
      <c r="D23" t="s">
        <v>523</v>
      </c>
      <c r="E23" s="1" t="s">
        <v>516</v>
      </c>
      <c r="F23" t="s">
        <v>210</v>
      </c>
      <c r="G23" s="1" t="s">
        <v>168</v>
      </c>
      <c r="H23" t="s">
        <v>517</v>
      </c>
      <c r="I23" s="1" t="s">
        <v>518</v>
      </c>
      <c r="J23" t="s">
        <v>464</v>
      </c>
      <c r="K23" t="s">
        <v>232</v>
      </c>
      <c r="L23" t="s">
        <v>19</v>
      </c>
      <c r="M23" t="s">
        <v>519</v>
      </c>
      <c r="N23" s="1" t="s">
        <v>174</v>
      </c>
      <c r="O23" t="s">
        <v>175</v>
      </c>
      <c r="P23" s="1" t="s">
        <v>221</v>
      </c>
      <c r="Q23" s="1" t="s">
        <v>127</v>
      </c>
      <c r="R23" s="1" t="s">
        <v>520</v>
      </c>
      <c r="S23" s="1" t="s">
        <v>20</v>
      </c>
      <c r="T23" s="19">
        <v>5.4</v>
      </c>
      <c r="U23" s="19" t="s">
        <v>174</v>
      </c>
      <c r="V23" s="1" t="s">
        <v>144</v>
      </c>
      <c r="W23" s="18" t="s">
        <v>479</v>
      </c>
    </row>
    <row r="24" spans="1:32">
      <c r="A24" t="s">
        <v>733</v>
      </c>
      <c r="B24" s="1">
        <f>IFERROR(
  _xlfn.XLOOKUP("*"&amp;SUBSTITUTE(TRIM(A24)," ","*")&amp;"*", CAM!$A:$A, CAM!$K:$K, "", 2),
"")</f>
        <v>1189</v>
      </c>
      <c r="C24" s="1">
        <f>IFERROR(
  _xlfn.XLOOKUP("*"&amp;SUBSTITUTE(TRIM(A24)," ","*")&amp;"*", CAM!$A:$A, CAM!$Z:$Z, "", 2),
"")/12</f>
        <v>173</v>
      </c>
      <c r="D24" t="s">
        <v>536</v>
      </c>
      <c r="E24" s="1" t="s">
        <v>602</v>
      </c>
      <c r="F24" t="s">
        <v>210</v>
      </c>
      <c r="G24" s="1" t="s">
        <v>540</v>
      </c>
      <c r="H24" s="22" t="s">
        <v>828</v>
      </c>
      <c r="I24" s="1" t="s">
        <v>827</v>
      </c>
      <c r="J24" t="s">
        <v>464</v>
      </c>
      <c r="K24" t="s">
        <v>233</v>
      </c>
      <c r="L24" t="s">
        <v>20</v>
      </c>
      <c r="M24" t="s">
        <v>746</v>
      </c>
      <c r="N24" s="1" t="s">
        <v>174</v>
      </c>
      <c r="O24" t="s">
        <v>175</v>
      </c>
      <c r="P24" s="1" t="s">
        <v>221</v>
      </c>
      <c r="Q24" s="1" t="s">
        <v>127</v>
      </c>
      <c r="R24" s="1" t="s">
        <v>520</v>
      </c>
      <c r="S24" s="1" t="s">
        <v>174</v>
      </c>
      <c r="T24" s="1">
        <v>6</v>
      </c>
      <c r="U24" s="1" t="s">
        <v>174</v>
      </c>
      <c r="V24" s="1" t="s">
        <v>144</v>
      </c>
      <c r="W24" s="18" t="s">
        <v>481</v>
      </c>
    </row>
    <row r="25" spans="1:32">
      <c r="A25" t="s">
        <v>425</v>
      </c>
      <c r="B25" s="1">
        <f>IFERROR(
  _xlfn.XLOOKUP("*"&amp;SUBSTITUTE(TRIM(A25)," ","*")&amp;"*", CAM!$A:$A, CAM!$K:$K, "", 2),
"")</f>
        <v>459</v>
      </c>
      <c r="C25" s="1">
        <f>IFERROR(
  _xlfn.XLOOKUP("*"&amp;SUBSTITUTE(TRIM(A25)," ","*")&amp;"*", CAM!$A:$A, CAM!$Z:$Z, "", 2),
"")/12</f>
        <v>72</v>
      </c>
      <c r="D25" t="s">
        <v>224</v>
      </c>
      <c r="E25" s="1" t="s">
        <v>226</v>
      </c>
      <c r="F25" t="s">
        <v>228</v>
      </c>
      <c r="G25" s="1" t="s">
        <v>169</v>
      </c>
      <c r="H25" t="s">
        <v>231</v>
      </c>
      <c r="I25" s="1" t="s">
        <v>504</v>
      </c>
      <c r="J25" t="s">
        <v>463</v>
      </c>
      <c r="K25" t="s">
        <v>232</v>
      </c>
      <c r="L25" t="s">
        <v>470</v>
      </c>
      <c r="M25" t="s">
        <v>236</v>
      </c>
      <c r="N25" s="1" t="s">
        <v>174</v>
      </c>
      <c r="O25" t="s">
        <v>176</v>
      </c>
      <c r="P25" s="1" t="s">
        <v>182</v>
      </c>
      <c r="Q25" s="1" t="s">
        <v>184</v>
      </c>
      <c r="R25" s="1" t="s">
        <v>238</v>
      </c>
      <c r="S25" s="1" t="s">
        <v>20</v>
      </c>
      <c r="T25" s="19">
        <v>5</v>
      </c>
      <c r="U25" s="19" t="s">
        <v>174</v>
      </c>
      <c r="V25" s="1" t="s">
        <v>195</v>
      </c>
      <c r="W25" s="18" t="s">
        <v>480</v>
      </c>
    </row>
    <row r="26" spans="1:32">
      <c r="A26" t="s">
        <v>419</v>
      </c>
      <c r="B26" s="1">
        <f>IFERROR(
  _xlfn.XLOOKUP("*"&amp;SUBSTITUTE(TRIM(A26)," ","*")&amp;"*", CAM!$A:$A, CAM!$K:$K, "", 2),
"")</f>
        <v>1199</v>
      </c>
      <c r="C26" s="1">
        <f>IFERROR(
  _xlfn.XLOOKUP("*"&amp;SUBSTITUTE(TRIM(A26)," ","*")&amp;"*", CAM!$A:$A, CAM!$Z:$Z, "", 2),
"")/12</f>
        <v>175</v>
      </c>
      <c r="D26" t="s">
        <v>224</v>
      </c>
      <c r="E26" s="1" t="s">
        <v>163</v>
      </c>
      <c r="F26" t="s">
        <v>228</v>
      </c>
      <c r="G26" s="1" t="s">
        <v>102</v>
      </c>
      <c r="H26" t="s">
        <v>230</v>
      </c>
      <c r="I26" s="1" t="s">
        <v>504</v>
      </c>
      <c r="J26" t="s">
        <v>464</v>
      </c>
      <c r="K26" t="s">
        <v>233</v>
      </c>
      <c r="L26" t="s">
        <v>470</v>
      </c>
      <c r="M26" t="s">
        <v>236</v>
      </c>
      <c r="N26" s="1" t="s">
        <v>174</v>
      </c>
      <c r="O26" t="s">
        <v>175</v>
      </c>
      <c r="P26" s="1" t="s">
        <v>220</v>
      </c>
      <c r="Q26" s="1" t="s">
        <v>184</v>
      </c>
      <c r="R26" s="1" t="s">
        <v>238</v>
      </c>
      <c r="S26" s="1" t="s">
        <v>20</v>
      </c>
      <c r="T26" s="1">
        <v>5.3</v>
      </c>
      <c r="U26" s="1" t="s">
        <v>174</v>
      </c>
      <c r="V26" s="1" t="s">
        <v>195</v>
      </c>
      <c r="W26" s="18" t="s">
        <v>480</v>
      </c>
    </row>
    <row r="27" spans="1:32">
      <c r="A27" t="s">
        <v>32</v>
      </c>
      <c r="B27" s="1">
        <f>IFERROR(
  _xlfn.XLOOKUP("*"&amp;SUBSTITUTE(TRIM(A27)," ","*")&amp;"*", CAM!$A:$A, CAM!$K:$K, "", 2),
"")</f>
        <v>1199</v>
      </c>
      <c r="C27" s="1">
        <f>IFERROR(
  _xlfn.XLOOKUP("*"&amp;SUBSTITUTE(TRIM(A27)," ","*")&amp;"*", CAM!$A:$A, CAM!$Z:$Z, "", 2),
"")/12</f>
        <v>175</v>
      </c>
      <c r="D27" t="s">
        <v>224</v>
      </c>
      <c r="E27" s="1" t="s">
        <v>163</v>
      </c>
      <c r="F27" t="s">
        <v>210</v>
      </c>
      <c r="G27" s="1" t="s">
        <v>102</v>
      </c>
      <c r="H27" t="s">
        <v>230</v>
      </c>
      <c r="I27" s="1" t="s">
        <v>504</v>
      </c>
      <c r="J27" t="s">
        <v>464</v>
      </c>
      <c r="K27" t="s">
        <v>233</v>
      </c>
      <c r="L27" t="s">
        <v>470</v>
      </c>
      <c r="M27" t="s">
        <v>236</v>
      </c>
      <c r="N27" s="1" t="s">
        <v>174</v>
      </c>
      <c r="O27" t="s">
        <v>175</v>
      </c>
      <c r="P27" s="1" t="s">
        <v>220</v>
      </c>
      <c r="Q27" s="1" t="s">
        <v>237</v>
      </c>
      <c r="R27" s="1" t="s">
        <v>238</v>
      </c>
      <c r="S27" s="1" t="s">
        <v>20</v>
      </c>
      <c r="T27" s="19">
        <v>5.3</v>
      </c>
      <c r="U27" s="19" t="s">
        <v>174</v>
      </c>
      <c r="V27" s="1" t="s">
        <v>195</v>
      </c>
      <c r="W27" s="18" t="s">
        <v>480</v>
      </c>
    </row>
    <row r="28" spans="1:32">
      <c r="A28" t="s">
        <v>651</v>
      </c>
      <c r="B28" s="1">
        <f>IFERROR(
  _xlfn.XLOOKUP("*"&amp;SUBSTITUTE(TRIM(A28)," ","*")&amp;"*", CAM!$A:$A, CAM!$K:$K, "", 2),
"")</f>
        <v>799</v>
      </c>
      <c r="C28" s="1">
        <f>IFERROR(
  _xlfn.XLOOKUP("*"&amp;SUBSTITUTE(TRIM(A28)," ","*")&amp;"*", CAM!$A:$A, CAM!$Z:$Z, "", 2),
"")/12</f>
        <v>113</v>
      </c>
      <c r="D28" t="s">
        <v>653</v>
      </c>
      <c r="E28" s="1" t="s">
        <v>654</v>
      </c>
      <c r="F28" s="22" t="s">
        <v>665</v>
      </c>
      <c r="G28" s="1" t="s">
        <v>102</v>
      </c>
      <c r="H28" t="s">
        <v>230</v>
      </c>
      <c r="I28" s="1" t="s">
        <v>504</v>
      </c>
      <c r="J28" t="s">
        <v>463</v>
      </c>
      <c r="K28" t="s">
        <v>233</v>
      </c>
      <c r="L28" t="s">
        <v>470</v>
      </c>
      <c r="M28" t="s">
        <v>236</v>
      </c>
      <c r="N28" s="1" t="s">
        <v>20</v>
      </c>
      <c r="O28" t="s">
        <v>176</v>
      </c>
      <c r="P28" s="1" t="s">
        <v>182</v>
      </c>
      <c r="Q28" s="1" t="s">
        <v>666</v>
      </c>
      <c r="R28" s="1" t="s">
        <v>238</v>
      </c>
      <c r="S28" s="1" t="s">
        <v>20</v>
      </c>
      <c r="T28" s="19">
        <v>5.4</v>
      </c>
      <c r="U28" s="19" t="s">
        <v>174</v>
      </c>
      <c r="V28" s="1" t="s">
        <v>195</v>
      </c>
      <c r="W28" s="18" t="s">
        <v>480</v>
      </c>
    </row>
    <row r="29" spans="1:32">
      <c r="A29" t="s">
        <v>617</v>
      </c>
      <c r="B29" s="1">
        <f>IFERROR(
  _xlfn.XLOOKUP("*"&amp;SUBSTITUTE(TRIM(A29)," ","*")&amp;"*", CAM!$A:$A, CAM!$K:$K, "", 2),
"")</f>
        <v>1299</v>
      </c>
      <c r="C29" s="1">
        <f>IFERROR(
  _xlfn.XLOOKUP("*"&amp;SUBSTITUTE(TRIM(A29)," ","*")&amp;"*", CAM!$A:$A, CAM!$Z:$Z, "", 2),
"")/12</f>
        <v>207</v>
      </c>
      <c r="D29" t="s">
        <v>225</v>
      </c>
      <c r="E29" s="1" t="s">
        <v>277</v>
      </c>
      <c r="F29" t="s">
        <v>621</v>
      </c>
      <c r="G29" s="1" t="s">
        <v>102</v>
      </c>
      <c r="H29" t="s">
        <v>230</v>
      </c>
      <c r="I29" s="1" t="s">
        <v>618</v>
      </c>
      <c r="J29" t="s">
        <v>464</v>
      </c>
      <c r="K29" t="s">
        <v>233</v>
      </c>
      <c r="L29" t="s">
        <v>470</v>
      </c>
      <c r="M29" t="s">
        <v>236</v>
      </c>
      <c r="N29" s="1" t="s">
        <v>174</v>
      </c>
      <c r="O29" t="s">
        <v>175</v>
      </c>
      <c r="P29" s="1" t="s">
        <v>181</v>
      </c>
      <c r="Q29" s="1" t="s">
        <v>620</v>
      </c>
      <c r="R29" s="1" t="s">
        <v>619</v>
      </c>
      <c r="S29" s="1" t="s">
        <v>20</v>
      </c>
      <c r="T29" s="19">
        <v>5.4</v>
      </c>
      <c r="U29" s="19" t="s">
        <v>174</v>
      </c>
      <c r="V29" s="1" t="s">
        <v>195</v>
      </c>
      <c r="W29" s="18" t="s">
        <v>480</v>
      </c>
    </row>
    <row r="30" spans="1:32">
      <c r="A30" t="s">
        <v>33</v>
      </c>
      <c r="B30" s="1">
        <f>IFERROR(
  _xlfn.XLOOKUP("*"&amp;SUBSTITUTE(TRIM(A30)," ","*")&amp;"*", CAM!$A:$A, CAM!$K:$K, "", 2),
"")</f>
        <v>1749</v>
      </c>
      <c r="C30" s="1">
        <f>IFERROR(
  _xlfn.XLOOKUP("*"&amp;SUBSTITUTE(TRIM(A30)," ","*")&amp;"*", CAM!$A:$A, CAM!$Z:$Z, "", 2),
"")/12</f>
        <v>262</v>
      </c>
      <c r="D30" t="s">
        <v>225</v>
      </c>
      <c r="E30" s="1" t="s">
        <v>227</v>
      </c>
      <c r="F30" t="s">
        <v>229</v>
      </c>
      <c r="G30" s="1" t="s">
        <v>102</v>
      </c>
      <c r="H30" t="s">
        <v>193</v>
      </c>
      <c r="I30" s="1" t="s">
        <v>498</v>
      </c>
      <c r="J30" t="s">
        <v>464</v>
      </c>
      <c r="K30" t="s">
        <v>234</v>
      </c>
      <c r="M30" t="s">
        <v>250</v>
      </c>
      <c r="N30" s="1" t="s">
        <v>174</v>
      </c>
      <c r="O30" t="s">
        <v>175</v>
      </c>
      <c r="P30" s="1" t="s">
        <v>221</v>
      </c>
      <c r="Q30" s="1" t="s">
        <v>184</v>
      </c>
      <c r="R30" s="1" t="s">
        <v>238</v>
      </c>
      <c r="S30" s="1" t="s">
        <v>20</v>
      </c>
      <c r="T30" s="1">
        <v>5.0999999999999996</v>
      </c>
      <c r="U30" s="1" t="s">
        <v>174</v>
      </c>
      <c r="V30" s="1" t="s">
        <v>144</v>
      </c>
      <c r="W30" s="18" t="s">
        <v>481</v>
      </c>
    </row>
    <row r="31" spans="1:32">
      <c r="A31" t="s">
        <v>34</v>
      </c>
      <c r="B31" s="1">
        <f>IFERROR(
  _xlfn.XLOOKUP("*"&amp;SUBSTITUTE(TRIM(A31)," ","*")&amp;"*", CAM!$A:$A, CAM!$K:$K, "", 2),
"")</f>
        <v>349</v>
      </c>
      <c r="C31" s="1">
        <f>IFERROR(
  _xlfn.XLOOKUP("*"&amp;SUBSTITUTE(TRIM(A31)," ","*")&amp;"*", CAM!$A:$A, CAM!$Z:$Z, "", 2),
"")/12</f>
        <v>54</v>
      </c>
      <c r="D31" t="s">
        <v>239</v>
      </c>
      <c r="E31" s="1" t="s">
        <v>162</v>
      </c>
      <c r="F31" t="s">
        <v>19</v>
      </c>
      <c r="G31" s="1" t="s">
        <v>204</v>
      </c>
      <c r="H31" t="s">
        <v>244</v>
      </c>
      <c r="I31" s="1" t="s">
        <v>505</v>
      </c>
      <c r="J31" t="s">
        <v>477</v>
      </c>
      <c r="K31" t="s">
        <v>248</v>
      </c>
      <c r="L31" t="s">
        <v>470</v>
      </c>
      <c r="M31" t="s">
        <v>236</v>
      </c>
      <c r="N31" s="1" t="s">
        <v>20</v>
      </c>
      <c r="O31" t="s">
        <v>474</v>
      </c>
      <c r="P31" s="1" t="s">
        <v>220</v>
      </c>
      <c r="Q31" s="1" t="s">
        <v>201</v>
      </c>
      <c r="R31" s="1" t="s">
        <v>256</v>
      </c>
      <c r="S31" s="1" t="s">
        <v>20</v>
      </c>
      <c r="T31" s="19">
        <v>5.3</v>
      </c>
      <c r="U31" s="19" t="s">
        <v>20</v>
      </c>
      <c r="V31" s="1" t="s">
        <v>195</v>
      </c>
      <c r="W31" s="33">
        <v>46966</v>
      </c>
    </row>
    <row r="32" spans="1:32">
      <c r="A32" t="s">
        <v>459</v>
      </c>
      <c r="B32" s="1">
        <f>IFERROR(
  _xlfn.XLOOKUP("*"&amp;SUBSTITUTE(TRIM(A32)," ","*")&amp;"*", CAM!$A:$A, CAM!$K:$K, "", 2),
"")</f>
        <v>469</v>
      </c>
      <c r="C32" s="1">
        <f>IFERROR(
  _xlfn.XLOOKUP("*"&amp;SUBSTITUTE(TRIM(A32)," ","*")&amp;"*", CAM!$A:$A, CAM!$Z:$Z, "", 2),
"")/12</f>
        <v>66</v>
      </c>
      <c r="D32" t="s">
        <v>239</v>
      </c>
      <c r="E32" s="1" t="s">
        <v>434</v>
      </c>
      <c r="F32" t="s">
        <v>17</v>
      </c>
      <c r="G32" s="1" t="s">
        <v>169</v>
      </c>
      <c r="H32" t="s">
        <v>245</v>
      </c>
      <c r="I32" s="1" t="s">
        <v>506</v>
      </c>
      <c r="J32" t="s">
        <v>477</v>
      </c>
      <c r="K32" t="s">
        <v>248</v>
      </c>
      <c r="L32" t="s">
        <v>467</v>
      </c>
      <c r="M32" t="s">
        <v>236</v>
      </c>
      <c r="N32" s="1" t="s">
        <v>20</v>
      </c>
      <c r="O32" t="s">
        <v>176</v>
      </c>
      <c r="P32" s="1" t="s">
        <v>220</v>
      </c>
      <c r="Q32" s="1" t="s">
        <v>201</v>
      </c>
      <c r="R32" s="1" t="s">
        <v>256</v>
      </c>
      <c r="S32" s="1" t="s">
        <v>20</v>
      </c>
      <c r="T32" s="19">
        <v>5.3</v>
      </c>
      <c r="U32" s="19" t="s">
        <v>20</v>
      </c>
      <c r="V32" s="1" t="s">
        <v>195</v>
      </c>
      <c r="W32" s="33">
        <v>48061</v>
      </c>
    </row>
    <row r="33" spans="1:23">
      <c r="A33" t="s">
        <v>573</v>
      </c>
      <c r="B33" s="1">
        <f>IFERROR(
  _xlfn.XLOOKUP("*"&amp;SUBSTITUTE(TRIM(A33)," ","*")&amp;"*", CAM!$A:$A, CAM!$K:$K, "", 2),
"")</f>
        <v>639</v>
      </c>
      <c r="C33" s="1">
        <f>IFERROR(
  _xlfn.XLOOKUP("*"&amp;SUBSTITUTE(TRIM(A33)," ","*")&amp;"*", CAM!$A:$A, CAM!$Z:$Z, "", 2),
"")/12</f>
        <v>100</v>
      </c>
      <c r="D33" t="s">
        <v>240</v>
      </c>
      <c r="E33" s="1" t="s">
        <v>211</v>
      </c>
      <c r="F33" t="s">
        <v>17</v>
      </c>
      <c r="G33" s="1" t="s">
        <v>169</v>
      </c>
      <c r="H33" t="s">
        <v>589</v>
      </c>
      <c r="I33" s="1" t="s">
        <v>585</v>
      </c>
      <c r="J33" t="s">
        <v>473</v>
      </c>
      <c r="K33" t="s">
        <v>171</v>
      </c>
      <c r="L33" t="s">
        <v>467</v>
      </c>
      <c r="M33" t="s">
        <v>252</v>
      </c>
      <c r="N33" s="1" t="s">
        <v>174</v>
      </c>
      <c r="O33" t="s">
        <v>176</v>
      </c>
      <c r="P33" s="1" t="s">
        <v>254</v>
      </c>
      <c r="Q33" s="1" t="s">
        <v>201</v>
      </c>
      <c r="R33" s="1" t="s">
        <v>256</v>
      </c>
      <c r="S33" s="1" t="s">
        <v>20</v>
      </c>
      <c r="T33" s="19">
        <v>5.3</v>
      </c>
      <c r="U33" s="19" t="s">
        <v>20</v>
      </c>
      <c r="V33" s="1" t="s">
        <v>195</v>
      </c>
      <c r="W33" s="33">
        <v>48092</v>
      </c>
    </row>
    <row r="34" spans="1:23">
      <c r="A34" t="s">
        <v>450</v>
      </c>
      <c r="B34" s="1">
        <f>IFERROR(
  _xlfn.XLOOKUP("*"&amp;SUBSTITUTE(TRIM(A34)," ","*")&amp;"*", CAM!$A:$A, CAM!$K:$K, "", 2),
"")</f>
        <v>549</v>
      </c>
      <c r="C34" s="1">
        <f>IFERROR(
  _xlfn.XLOOKUP("*"&amp;SUBSTITUTE(TRIM(A34)," ","*")&amp;"*", CAM!$A:$A, CAM!$Z:$Z, "", 2),
"")/12</f>
        <v>78</v>
      </c>
      <c r="D34" t="s">
        <v>240</v>
      </c>
      <c r="E34" s="1" t="s">
        <v>241</v>
      </c>
      <c r="F34" t="s">
        <v>17</v>
      </c>
      <c r="G34" s="1" t="s">
        <v>169</v>
      </c>
      <c r="H34" t="s">
        <v>245</v>
      </c>
      <c r="I34" s="1" t="s">
        <v>507</v>
      </c>
      <c r="J34" t="s">
        <v>477</v>
      </c>
      <c r="K34" t="s">
        <v>171</v>
      </c>
      <c r="L34" t="s">
        <v>476</v>
      </c>
      <c r="M34" t="s">
        <v>252</v>
      </c>
      <c r="N34" s="1" t="s">
        <v>20</v>
      </c>
      <c r="O34" t="s">
        <v>176</v>
      </c>
      <c r="P34" s="1" t="s">
        <v>254</v>
      </c>
      <c r="Q34" s="1" t="s">
        <v>201</v>
      </c>
      <c r="R34" s="1" t="s">
        <v>256</v>
      </c>
      <c r="S34" s="1" t="s">
        <v>20</v>
      </c>
      <c r="T34" s="19">
        <v>5.3</v>
      </c>
      <c r="U34" s="19" t="s">
        <v>174</v>
      </c>
      <c r="V34" s="1" t="s">
        <v>195</v>
      </c>
      <c r="W34" s="33">
        <v>47788</v>
      </c>
    </row>
    <row r="35" spans="1:23">
      <c r="A35" t="s">
        <v>36</v>
      </c>
      <c r="B35" s="1">
        <f>IFERROR(
  _xlfn.XLOOKUP("*"&amp;SUBSTITUTE(TRIM(A35)," ","*")&amp;"*", CAM!$A:$A, CAM!$K:$K, "", 2),
"")</f>
        <v>829</v>
      </c>
      <c r="C35" s="1">
        <f>IFERROR(
  _xlfn.XLOOKUP("*"&amp;SUBSTITUTE(TRIM(A35)," ","*")&amp;"*", CAM!$A:$A, CAM!$Z:$Z, "", 2),
"")/12</f>
        <v>117</v>
      </c>
      <c r="D35" t="s">
        <v>240</v>
      </c>
      <c r="E35" s="1" t="s">
        <v>241</v>
      </c>
      <c r="F35" t="s">
        <v>243</v>
      </c>
      <c r="G35" s="1" t="s">
        <v>168</v>
      </c>
      <c r="H35" t="s">
        <v>246</v>
      </c>
      <c r="I35" s="1" t="s">
        <v>508</v>
      </c>
      <c r="J35" t="s">
        <v>472</v>
      </c>
      <c r="K35" t="s">
        <v>171</v>
      </c>
      <c r="L35" t="s">
        <v>467</v>
      </c>
      <c r="M35" t="s">
        <v>251</v>
      </c>
      <c r="N35" s="1" t="s">
        <v>174</v>
      </c>
      <c r="O35" t="s">
        <v>175</v>
      </c>
      <c r="P35" s="1" t="s">
        <v>254</v>
      </c>
      <c r="Q35" s="1" t="s">
        <v>201</v>
      </c>
      <c r="R35" s="1" t="s">
        <v>256</v>
      </c>
      <c r="S35" s="1" t="s">
        <v>20</v>
      </c>
      <c r="T35" s="19">
        <v>5.3</v>
      </c>
      <c r="U35" s="19" t="s">
        <v>174</v>
      </c>
      <c r="V35" s="1" t="s">
        <v>195</v>
      </c>
      <c r="W35" s="33">
        <v>47908</v>
      </c>
    </row>
    <row r="36" spans="1:23">
      <c r="A36" t="s">
        <v>37</v>
      </c>
      <c r="B36" s="1">
        <f>IFERROR(
  _xlfn.XLOOKUP("*"&amp;SUBSTITUTE(TRIM(A36)," ","*")&amp;"*", CAM!$A:$A, CAM!$K:$K, "", 2),
"")</f>
        <v>949</v>
      </c>
      <c r="C36" s="1">
        <f>IFERROR(
  _xlfn.XLOOKUP("*"&amp;SUBSTITUTE(TRIM(A36)," ","*")&amp;"*", CAM!$A:$A, CAM!$Z:$Z, "", 2),
"")/12</f>
        <v>134</v>
      </c>
      <c r="D36" t="s">
        <v>240</v>
      </c>
      <c r="E36" s="1" t="s">
        <v>242</v>
      </c>
      <c r="F36" t="s">
        <v>243</v>
      </c>
      <c r="G36" s="1" t="s">
        <v>168</v>
      </c>
      <c r="H36" t="s">
        <v>247</v>
      </c>
      <c r="I36" s="1" t="s">
        <v>509</v>
      </c>
      <c r="J36" t="s">
        <v>472</v>
      </c>
      <c r="K36" t="s">
        <v>249</v>
      </c>
      <c r="L36" t="s">
        <v>20</v>
      </c>
      <c r="M36" t="s">
        <v>253</v>
      </c>
      <c r="N36" s="1" t="s">
        <v>174</v>
      </c>
      <c r="O36" t="s">
        <v>175</v>
      </c>
      <c r="P36" s="1" t="s">
        <v>255</v>
      </c>
      <c r="Q36" s="1" t="s">
        <v>201</v>
      </c>
      <c r="R36" s="1" t="s">
        <v>257</v>
      </c>
      <c r="S36" s="1" t="s">
        <v>20</v>
      </c>
      <c r="T36" s="19">
        <v>5.3</v>
      </c>
      <c r="U36" s="19" t="s">
        <v>174</v>
      </c>
      <c r="V36" s="1" t="s">
        <v>144</v>
      </c>
      <c r="W36" s="33">
        <v>47908</v>
      </c>
    </row>
    <row r="37" spans="1:23">
      <c r="A37" t="s">
        <v>731</v>
      </c>
      <c r="B37" s="1">
        <f>IFERROR(
  _xlfn.XLOOKUP("*"&amp;SUBSTITUTE(TRIM(A37)," ","*")&amp;"*", CAM!$A:$A, CAM!$K:$K, "", 2),
"")</f>
        <v>1739</v>
      </c>
      <c r="C37" s="1">
        <f>IFERROR(
  _xlfn.XLOOKUP("*"&amp;SUBSTITUTE(TRIM(A37)," ","*")&amp;"*", CAM!$A:$A, CAM!$Z:$Z, "", 2),
"")/12</f>
        <v>246</v>
      </c>
      <c r="D37" t="s">
        <v>240</v>
      </c>
      <c r="E37" s="1" t="s">
        <v>165</v>
      </c>
      <c r="F37" s="22" t="s">
        <v>202</v>
      </c>
      <c r="G37" s="1" t="s">
        <v>168</v>
      </c>
      <c r="H37" s="22" t="s">
        <v>738</v>
      </c>
      <c r="I37" s="1" t="s">
        <v>736</v>
      </c>
      <c r="J37" t="s">
        <v>473</v>
      </c>
      <c r="K37" t="s">
        <v>234</v>
      </c>
      <c r="L37" s="1" t="s">
        <v>19</v>
      </c>
      <c r="M37" t="s">
        <v>737</v>
      </c>
      <c r="N37" s="1" t="s">
        <v>174</v>
      </c>
      <c r="O37" t="s">
        <v>175</v>
      </c>
      <c r="P37" s="1" t="s">
        <v>269</v>
      </c>
      <c r="Q37" s="1" t="s">
        <v>201</v>
      </c>
      <c r="R37" s="1" t="s">
        <v>257</v>
      </c>
      <c r="S37" s="1" t="s">
        <v>20</v>
      </c>
      <c r="T37" s="19">
        <v>5.4</v>
      </c>
      <c r="U37" s="19" t="s">
        <v>174</v>
      </c>
      <c r="V37" s="1" t="s">
        <v>144</v>
      </c>
      <c r="W37" s="33">
        <v>48274</v>
      </c>
    </row>
    <row r="38" spans="1:23">
      <c r="A38" t="s">
        <v>38</v>
      </c>
      <c r="B38" s="1">
        <f>IFERROR(
  _xlfn.XLOOKUP("*"&amp;SUBSTITUTE(TRIM(A38)," ","*")&amp;"*", CAM!$A:$A, CAM!$K:$K, "", 2),
"")</f>
        <v>1499</v>
      </c>
      <c r="C38" s="1">
        <f>IFERROR(
  _xlfn.XLOOKUP("*"&amp;SUBSTITUTE(TRIM(A38)," ","*")&amp;"*", CAM!$A:$A, CAM!$Z:$Z, "", 2),
"")/12</f>
        <v>212</v>
      </c>
      <c r="D38" t="s">
        <v>240</v>
      </c>
      <c r="E38" s="1" t="s">
        <v>259</v>
      </c>
      <c r="F38" t="s">
        <v>243</v>
      </c>
      <c r="G38" s="1" t="s">
        <v>168</v>
      </c>
      <c r="H38" t="s">
        <v>262</v>
      </c>
      <c r="I38" s="1" t="s">
        <v>510</v>
      </c>
      <c r="J38" t="s">
        <v>473</v>
      </c>
      <c r="K38" t="s">
        <v>234</v>
      </c>
      <c r="L38" t="s">
        <v>20</v>
      </c>
      <c r="M38" t="s">
        <v>265</v>
      </c>
      <c r="N38" s="1" t="s">
        <v>174</v>
      </c>
      <c r="O38" t="s">
        <v>175</v>
      </c>
      <c r="P38" s="1" t="s">
        <v>269</v>
      </c>
      <c r="Q38" s="1" t="s">
        <v>201</v>
      </c>
      <c r="R38" s="1" t="s">
        <v>257</v>
      </c>
      <c r="S38" s="1" t="s">
        <v>20</v>
      </c>
      <c r="T38" s="19">
        <v>5.3</v>
      </c>
      <c r="U38" s="19" t="s">
        <v>174</v>
      </c>
      <c r="V38" s="1" t="s">
        <v>144</v>
      </c>
      <c r="W38" s="33">
        <v>48274</v>
      </c>
    </row>
    <row r="39" spans="1:23">
      <c r="A39" t="s">
        <v>732</v>
      </c>
      <c r="B39" s="1">
        <f>IFERROR(
  _xlfn.XLOOKUP("*"&amp;SUBSTITUTE(TRIM(A39)," ","*")&amp;"*", CAM!$A:$A, CAM!$K:$K, "", 2),
"")</f>
        <v>1939</v>
      </c>
      <c r="C39" s="1">
        <f>IFERROR(
  _xlfn.XLOOKUP("*"&amp;SUBSTITUTE(TRIM(A39)," ","*")&amp;"*", CAM!$A:$A, CAM!$Z:$Z, "", 2),
"")/12</f>
        <v>275</v>
      </c>
      <c r="D39" t="s">
        <v>739</v>
      </c>
      <c r="F39" s="22" t="s">
        <v>202</v>
      </c>
      <c r="G39" s="1" t="s">
        <v>168</v>
      </c>
      <c r="H39" s="22" t="s">
        <v>740</v>
      </c>
      <c r="I39" s="1" t="s">
        <v>741</v>
      </c>
      <c r="J39" t="s">
        <v>473</v>
      </c>
      <c r="K39" t="s">
        <v>234</v>
      </c>
      <c r="L39" t="s">
        <v>19</v>
      </c>
      <c r="M39" t="s">
        <v>737</v>
      </c>
      <c r="N39" s="1" t="s">
        <v>174</v>
      </c>
      <c r="O39" t="s">
        <v>175</v>
      </c>
      <c r="P39" s="1" t="s">
        <v>269</v>
      </c>
      <c r="Q39" s="1" t="s">
        <v>201</v>
      </c>
      <c r="R39" s="1" t="s">
        <v>257</v>
      </c>
      <c r="S39" s="1" t="s">
        <v>20</v>
      </c>
      <c r="T39" s="19">
        <v>6</v>
      </c>
      <c r="U39" s="19" t="s">
        <v>174</v>
      </c>
      <c r="V39" s="1" t="s">
        <v>144</v>
      </c>
      <c r="W39" s="33">
        <v>48274</v>
      </c>
    </row>
    <row r="40" spans="1:23">
      <c r="A40" t="s">
        <v>845</v>
      </c>
      <c r="B40" s="1">
        <f>IFERROR(
  _xlfn.XLOOKUP("*"&amp;SUBSTITUTE(TRIM(A40)," ","*")&amp;"*", CAM!$A:$A, CAM!$K:$K, "", 2),
"")</f>
        <v>3799</v>
      </c>
      <c r="C40" s="1">
        <f>IFERROR(
  _xlfn.XLOOKUP("*"&amp;SUBSTITUTE(TRIM(A40)," ","*")&amp;"*", CAM!$A:$A, CAM!$Z:$Z, "", 2),
"")/12</f>
        <v>538</v>
      </c>
      <c r="D40" t="s">
        <v>847</v>
      </c>
      <c r="E40" s="1" t="s">
        <v>846</v>
      </c>
      <c r="F40" s="22" t="s">
        <v>202</v>
      </c>
      <c r="G40" s="1" t="s">
        <v>168</v>
      </c>
      <c r="H40" s="22" t="s">
        <v>855</v>
      </c>
      <c r="I40" s="1" t="s">
        <v>848</v>
      </c>
      <c r="J40" t="s">
        <v>849</v>
      </c>
      <c r="K40" t="s">
        <v>850</v>
      </c>
      <c r="L40" t="s">
        <v>20</v>
      </c>
      <c r="M40" t="s">
        <v>851</v>
      </c>
      <c r="N40" s="1" t="s">
        <v>174</v>
      </c>
      <c r="O40" t="s">
        <v>547</v>
      </c>
      <c r="P40" s="1" t="s">
        <v>269</v>
      </c>
      <c r="Q40" s="1" t="s">
        <v>852</v>
      </c>
      <c r="R40" s="1" t="s">
        <v>256</v>
      </c>
      <c r="S40" s="1" t="s">
        <v>853</v>
      </c>
      <c r="T40" s="19">
        <v>5.4</v>
      </c>
      <c r="U40" s="19" t="s">
        <v>174</v>
      </c>
      <c r="V40" s="1" t="s">
        <v>144</v>
      </c>
      <c r="W40" s="33">
        <v>48611</v>
      </c>
    </row>
    <row r="41" spans="1:23">
      <c r="A41" t="s">
        <v>844</v>
      </c>
      <c r="B41" s="1">
        <f>IFERROR(
  _xlfn.XLOOKUP("*"&amp;SUBSTITUTE(TRIM(A41)," ","*")&amp;"*", CAM!$A:$A, CAM!$K:$K, "", 2),
"")</f>
        <v>4559</v>
      </c>
      <c r="C41" s="1">
        <f>IFERROR(
  _xlfn.XLOOKUP("*"&amp;SUBSTITUTE(TRIM(A41)," ","*")&amp;"*", CAM!$A:$A, CAM!$Z:$Z, "", 2),
"")/12</f>
        <v>646</v>
      </c>
      <c r="D41" t="s">
        <v>854</v>
      </c>
      <c r="E41" s="1" t="s">
        <v>211</v>
      </c>
      <c r="F41" s="22" t="s">
        <v>202</v>
      </c>
      <c r="G41" s="1" t="s">
        <v>168</v>
      </c>
      <c r="H41" s="22" t="s">
        <v>855</v>
      </c>
      <c r="I41" s="1" t="s">
        <v>848</v>
      </c>
      <c r="J41" t="s">
        <v>849</v>
      </c>
      <c r="K41" t="s">
        <v>850</v>
      </c>
      <c r="L41" t="s">
        <v>20</v>
      </c>
      <c r="M41" t="s">
        <v>851</v>
      </c>
      <c r="N41" s="1" t="s">
        <v>174</v>
      </c>
      <c r="O41" t="s">
        <v>547</v>
      </c>
      <c r="P41" s="1" t="s">
        <v>269</v>
      </c>
      <c r="Q41" s="1" t="s">
        <v>856</v>
      </c>
      <c r="R41" s="1" t="s">
        <v>257</v>
      </c>
      <c r="S41" s="1" t="s">
        <v>839</v>
      </c>
      <c r="T41" s="19">
        <v>5.4</v>
      </c>
      <c r="U41" s="19" t="s">
        <v>174</v>
      </c>
      <c r="V41" s="1" t="s">
        <v>144</v>
      </c>
      <c r="W41" s="33">
        <v>48611</v>
      </c>
    </row>
    <row r="42" spans="1:23">
      <c r="A42" t="s">
        <v>843</v>
      </c>
      <c r="B42" s="1">
        <f>IFERROR(
  _xlfn.XLOOKUP("*"&amp;SUBSTITUTE(TRIM(A42)," ","*")&amp;"*", CAM!$A:$A, CAM!$K:$K, "", 2),
"")</f>
        <v>5319</v>
      </c>
      <c r="C42" s="1">
        <f>IFERROR(
  _xlfn.XLOOKUP("*"&amp;SUBSTITUTE(TRIM(A42)," ","*")&amp;"*", CAM!$A:$A, CAM!$Z:$Z, "", 2),
"")/12</f>
        <v>754</v>
      </c>
      <c r="D42" t="s">
        <v>857</v>
      </c>
      <c r="E42" s="1" t="s">
        <v>858</v>
      </c>
      <c r="F42" s="22" t="s">
        <v>202</v>
      </c>
      <c r="G42" s="1" t="s">
        <v>168</v>
      </c>
      <c r="H42" s="22" t="s">
        <v>867</v>
      </c>
      <c r="I42" s="1" t="s">
        <v>859</v>
      </c>
      <c r="J42" t="s">
        <v>849</v>
      </c>
      <c r="K42" t="s">
        <v>850</v>
      </c>
      <c r="M42" t="s">
        <v>860</v>
      </c>
      <c r="N42" s="1" t="s">
        <v>174</v>
      </c>
      <c r="O42" t="s">
        <v>547</v>
      </c>
      <c r="P42" s="1" t="s">
        <v>269</v>
      </c>
      <c r="Q42" s="1" t="s">
        <v>201</v>
      </c>
      <c r="R42" s="1" t="s">
        <v>861</v>
      </c>
      <c r="S42" s="1" t="s">
        <v>839</v>
      </c>
      <c r="T42" s="19">
        <v>6</v>
      </c>
      <c r="U42" s="19" t="s">
        <v>174</v>
      </c>
      <c r="V42" s="1" t="s">
        <v>144</v>
      </c>
      <c r="W42" s="33">
        <v>48611</v>
      </c>
    </row>
    <row r="43" spans="1:23">
      <c r="A43" t="s">
        <v>530</v>
      </c>
      <c r="B43" s="1">
        <f>IFERROR(
  _xlfn.XLOOKUP("*"&amp;SUBSTITUTE(TRIM(A43)," ","*")&amp;"*", CAM!$A:$A, CAM!$K:$K, "", 2),
"")</f>
        <v>299</v>
      </c>
      <c r="C43" s="1">
        <f>IFERROR(
  _xlfn.XLOOKUP("*"&amp;SUBSTITUTE(TRIM(A43)," ","*")&amp;"*", CAM!$A:$A, CAM!$Z:$Z, "", 2),
"")/12</f>
        <v>42</v>
      </c>
      <c r="D43" t="s">
        <v>531</v>
      </c>
      <c r="E43" s="1" t="s">
        <v>532</v>
      </c>
      <c r="F43" s="1" t="s">
        <v>19</v>
      </c>
      <c r="G43" s="1" t="s">
        <v>168</v>
      </c>
      <c r="H43" s="22" t="s">
        <v>559</v>
      </c>
      <c r="I43" s="1" t="s">
        <v>533</v>
      </c>
      <c r="J43" s="21" t="s">
        <v>477</v>
      </c>
      <c r="K43" s="21" t="s">
        <v>249</v>
      </c>
      <c r="L43" s="22" t="s">
        <v>174</v>
      </c>
      <c r="M43" t="s">
        <v>534</v>
      </c>
      <c r="N43" s="1" t="s">
        <v>20</v>
      </c>
      <c r="O43" t="s">
        <v>176</v>
      </c>
      <c r="P43" s="1" t="s">
        <v>220</v>
      </c>
      <c r="Q43" s="1" t="s">
        <v>127</v>
      </c>
      <c r="R43" s="1" t="s">
        <v>535</v>
      </c>
      <c r="S43" s="1" t="s">
        <v>20</v>
      </c>
      <c r="T43" s="19">
        <v>5.2</v>
      </c>
      <c r="U43" s="19" t="s">
        <v>20</v>
      </c>
      <c r="V43" s="1" t="s">
        <v>195</v>
      </c>
      <c r="W43" s="33" t="s">
        <v>19</v>
      </c>
    </row>
    <row r="44" spans="1:23">
      <c r="A44" t="s">
        <v>829</v>
      </c>
      <c r="B44" s="1">
        <f>IFERROR(
  _xlfn.XLOOKUP("*"&amp;SUBSTITUTE(TRIM(A44)," ","*")&amp;"*", CAM!$A:$A, CAM!$K:$K, "", 2),
"")</f>
        <v>499</v>
      </c>
      <c r="C44" s="1">
        <f>IFERROR(
  _xlfn.XLOOKUP("*"&amp;SUBSTITUTE(TRIM(A44)," ","*")&amp;"*", CAM!$A:$A, CAM!$Z:$Z, "", 2),
"")/12</f>
        <v>71</v>
      </c>
      <c r="D44" t="s">
        <v>531</v>
      </c>
      <c r="E44" s="1" t="s">
        <v>655</v>
      </c>
      <c r="F44" t="s">
        <v>17</v>
      </c>
      <c r="G44" s="1" t="s">
        <v>168</v>
      </c>
      <c r="H44" s="22" t="s">
        <v>559</v>
      </c>
      <c r="I44" s="1" t="s">
        <v>533</v>
      </c>
      <c r="J44" s="21" t="s">
        <v>477</v>
      </c>
      <c r="K44" s="21" t="s">
        <v>249</v>
      </c>
      <c r="L44" s="22" t="s">
        <v>174</v>
      </c>
      <c r="M44" t="s">
        <v>842</v>
      </c>
      <c r="N44" s="1" t="s">
        <v>20</v>
      </c>
      <c r="O44" t="s">
        <v>176</v>
      </c>
      <c r="P44" s="1" t="s">
        <v>220</v>
      </c>
      <c r="Q44" s="1" t="s">
        <v>184</v>
      </c>
      <c r="R44" s="1" t="s">
        <v>535</v>
      </c>
      <c r="S44" s="1" t="s">
        <v>20</v>
      </c>
      <c r="T44" s="19">
        <v>5.2</v>
      </c>
      <c r="U44" s="19" t="s">
        <v>20</v>
      </c>
      <c r="V44" s="1" t="s">
        <v>195</v>
      </c>
      <c r="W44" s="33" t="s">
        <v>19</v>
      </c>
    </row>
    <row r="45" spans="1:23">
      <c r="A45" t="s">
        <v>449</v>
      </c>
      <c r="B45" s="1">
        <f>IFERROR(
  _xlfn.XLOOKUP("*"&amp;SUBSTITUTE(TRIM(A45)," ","*")&amp;"*", CAM!$A:$A, CAM!$K:$K, "", 2),
"")</f>
        <v>519</v>
      </c>
      <c r="C45" s="1">
        <f>IFERROR(
  _xlfn.XLOOKUP("*"&amp;SUBSTITUTE(TRIM(A45)," ","*")&amp;"*", CAM!$A:$A, CAM!$Z:$Z, "", 2),
"")/12</f>
        <v>74</v>
      </c>
      <c r="D45" t="s">
        <v>283</v>
      </c>
      <c r="E45" s="1" t="s">
        <v>455</v>
      </c>
      <c r="F45" t="s">
        <v>21</v>
      </c>
      <c r="G45" s="1" t="s">
        <v>168</v>
      </c>
      <c r="H45" t="s">
        <v>191</v>
      </c>
      <c r="I45" s="1" t="s">
        <v>511</v>
      </c>
      <c r="J45" t="s">
        <v>464</v>
      </c>
      <c r="K45" t="s">
        <v>217</v>
      </c>
      <c r="L45" t="s">
        <v>470</v>
      </c>
      <c r="M45" t="s">
        <v>456</v>
      </c>
      <c r="N45" s="1" t="s">
        <v>20</v>
      </c>
      <c r="O45" t="s">
        <v>176</v>
      </c>
      <c r="P45" s="1" t="s">
        <v>254</v>
      </c>
      <c r="Q45" s="1" t="s">
        <v>184</v>
      </c>
      <c r="R45" s="1" t="s">
        <v>273</v>
      </c>
      <c r="S45" s="1" t="s">
        <v>20</v>
      </c>
      <c r="T45" s="19">
        <v>5.4</v>
      </c>
      <c r="U45" s="19" t="s">
        <v>20</v>
      </c>
      <c r="V45" s="1" t="s">
        <v>195</v>
      </c>
      <c r="W45" s="33">
        <v>48061</v>
      </c>
    </row>
    <row r="46" spans="1:23">
      <c r="A46" t="s">
        <v>625</v>
      </c>
      <c r="B46" s="1">
        <f>IFERROR(
  _xlfn.XLOOKUP("*"&amp;SUBSTITUTE(TRIM(A46)," ","*")&amp;"*", CAM!$A:$A, CAM!$K:$K, "", 2),
"")</f>
        <v>519</v>
      </c>
      <c r="C46" s="1">
        <f>IFERROR(
  _xlfn.XLOOKUP("*"&amp;SUBSTITUTE(TRIM(A46)," ","*")&amp;"*", CAM!$A:$A, CAM!$Z:$Z, "", 2),
"")/12</f>
        <v>74</v>
      </c>
      <c r="D46" t="s">
        <v>626</v>
      </c>
      <c r="E46" s="1" t="s">
        <v>627</v>
      </c>
      <c r="F46" t="s">
        <v>21</v>
      </c>
      <c r="G46" s="1" t="s">
        <v>540</v>
      </c>
      <c r="H46" t="s">
        <v>628</v>
      </c>
      <c r="I46" s="1" t="s">
        <v>629</v>
      </c>
      <c r="J46" t="s">
        <v>464</v>
      </c>
      <c r="K46" t="s">
        <v>233</v>
      </c>
      <c r="L46" t="s">
        <v>467</v>
      </c>
      <c r="M46" t="s">
        <v>630</v>
      </c>
      <c r="N46" s="1" t="s">
        <v>20</v>
      </c>
      <c r="O46" t="s">
        <v>176</v>
      </c>
      <c r="P46" s="1" t="s">
        <v>183</v>
      </c>
      <c r="Q46" s="1" t="s">
        <v>631</v>
      </c>
      <c r="R46" s="1" t="s">
        <v>273</v>
      </c>
      <c r="S46" s="1" t="s">
        <v>20</v>
      </c>
      <c r="T46" s="19">
        <v>5.0999999999999996</v>
      </c>
      <c r="U46" s="19" t="s">
        <v>20</v>
      </c>
      <c r="V46" s="1" t="s">
        <v>195</v>
      </c>
      <c r="W46" s="20" t="s">
        <v>480</v>
      </c>
    </row>
    <row r="47" spans="1:23">
      <c r="A47" t="s">
        <v>647</v>
      </c>
      <c r="B47" s="1">
        <f>IFERROR(
  _xlfn.XLOOKUP("*"&amp;SUBSTITUTE(TRIM(A47)," ","*")&amp;"*", CAM!$A:$A, CAM!$K:$K, "", 2),
"")</f>
        <v>879</v>
      </c>
      <c r="C47" s="1">
        <f>IFERROR(
  _xlfn.XLOOKUP("*"&amp;SUBSTITUTE(TRIM(A47)," ","*")&amp;"*", CAM!$A:$A, CAM!$Z:$Z, "", 2),
"")/12</f>
        <v>125</v>
      </c>
      <c r="D47" t="s">
        <v>198</v>
      </c>
      <c r="E47" s="1" t="s">
        <v>434</v>
      </c>
      <c r="F47" t="s">
        <v>21</v>
      </c>
      <c r="G47" s="1" t="s">
        <v>168</v>
      </c>
      <c r="H47" t="s">
        <v>264</v>
      </c>
      <c r="I47" s="1" t="s">
        <v>509</v>
      </c>
      <c r="J47" t="s">
        <v>464</v>
      </c>
      <c r="K47" t="s">
        <v>233</v>
      </c>
      <c r="L47" t="s">
        <v>470</v>
      </c>
      <c r="M47" t="s">
        <v>667</v>
      </c>
      <c r="N47" s="1" t="s">
        <v>20</v>
      </c>
      <c r="O47" t="s">
        <v>176</v>
      </c>
      <c r="P47" s="1" t="s">
        <v>270</v>
      </c>
      <c r="Q47" s="1" t="s">
        <v>184</v>
      </c>
      <c r="R47" s="1" t="s">
        <v>273</v>
      </c>
      <c r="S47" s="1" t="s">
        <v>20</v>
      </c>
      <c r="T47" s="19">
        <v>5.0999999999999996</v>
      </c>
      <c r="U47" s="19" t="s">
        <v>19</v>
      </c>
      <c r="V47" s="1" t="s">
        <v>144</v>
      </c>
      <c r="W47" s="20" t="s">
        <v>19</v>
      </c>
    </row>
    <row r="48" spans="1:23">
      <c r="A48" t="s">
        <v>649</v>
      </c>
      <c r="B48" s="1">
        <f>IFERROR(
  _xlfn.XLOOKUP("*"&amp;SUBSTITUTE(TRIM(A48)," ","*")&amp;"*", CAM!$A:$A, CAM!$K:$K, "", 2),
"")</f>
        <v>1309</v>
      </c>
      <c r="C48" s="1">
        <f>IFERROR(
  _xlfn.XLOOKUP("*"&amp;SUBSTITUTE(TRIM(A48)," ","*")&amp;"*", CAM!$A:$A, CAM!$Z:$Z, "", 2),
"")/12</f>
        <v>185</v>
      </c>
      <c r="D48" t="s">
        <v>668</v>
      </c>
      <c r="E48" s="1" t="s">
        <v>669</v>
      </c>
      <c r="F48" s="22" t="s">
        <v>722</v>
      </c>
      <c r="G48" s="1" t="s">
        <v>168</v>
      </c>
      <c r="H48" s="22" t="s">
        <v>720</v>
      </c>
      <c r="I48" s="1" t="s">
        <v>721</v>
      </c>
      <c r="J48" t="s">
        <v>464</v>
      </c>
      <c r="K48" t="s">
        <v>672</v>
      </c>
      <c r="L48" t="s">
        <v>20</v>
      </c>
      <c r="M48" t="s">
        <v>673</v>
      </c>
      <c r="N48" s="1" t="s">
        <v>174</v>
      </c>
      <c r="O48" t="s">
        <v>175</v>
      </c>
      <c r="P48" s="1" t="s">
        <v>270</v>
      </c>
      <c r="Q48" s="1" t="s">
        <v>675</v>
      </c>
      <c r="R48" s="1" t="s">
        <v>257</v>
      </c>
      <c r="S48" s="1" t="s">
        <v>20</v>
      </c>
      <c r="T48" s="19">
        <v>5.4</v>
      </c>
      <c r="U48" s="19" t="s">
        <v>19</v>
      </c>
      <c r="V48" s="1" t="s">
        <v>144</v>
      </c>
      <c r="W48" s="20" t="s">
        <v>19</v>
      </c>
    </row>
    <row r="49" spans="1:23">
      <c r="A49" t="s">
        <v>650</v>
      </c>
      <c r="B49" s="1">
        <f>IFERROR(
  _xlfn.XLOOKUP("*"&amp;SUBSTITUTE(TRIM(A49)," ","*")&amp;"*", CAM!$A:$A, CAM!$K:$K, "", 2),
"")</f>
        <v>1799</v>
      </c>
      <c r="C49" s="1">
        <f>IFERROR(
  _xlfn.XLOOKUP("*"&amp;SUBSTITUTE(TRIM(A49)," ","*")&amp;"*", CAM!$A:$A, CAM!$Z:$Z, "", 2),
"")/12</f>
        <v>258</v>
      </c>
      <c r="D49" t="s">
        <v>668</v>
      </c>
      <c r="E49" s="1" t="s">
        <v>670</v>
      </c>
      <c r="F49" s="22" t="s">
        <v>722</v>
      </c>
      <c r="G49" s="1" t="s">
        <v>168</v>
      </c>
      <c r="H49" s="22" t="s">
        <v>671</v>
      </c>
      <c r="I49" s="1" t="s">
        <v>826</v>
      </c>
      <c r="J49" t="s">
        <v>465</v>
      </c>
      <c r="K49" t="s">
        <v>672</v>
      </c>
      <c r="L49" t="s">
        <v>20</v>
      </c>
      <c r="M49" t="s">
        <v>674</v>
      </c>
      <c r="N49" s="1" t="s">
        <v>174</v>
      </c>
      <c r="O49" t="s">
        <v>175</v>
      </c>
      <c r="P49" s="1" t="s">
        <v>221</v>
      </c>
      <c r="Q49" s="1" t="s">
        <v>620</v>
      </c>
      <c r="R49" s="1" t="s">
        <v>676</v>
      </c>
      <c r="S49" s="1" t="s">
        <v>20</v>
      </c>
      <c r="T49" s="19">
        <v>5.4</v>
      </c>
      <c r="U49" s="19" t="s">
        <v>174</v>
      </c>
      <c r="V49" s="1" t="s">
        <v>144</v>
      </c>
      <c r="W49" s="20" t="s">
        <v>19</v>
      </c>
    </row>
    <row r="50" spans="1:23">
      <c r="A50" t="s">
        <v>39</v>
      </c>
      <c r="B50" s="1">
        <f>IFERROR(
  _xlfn.XLOOKUP("*"&amp;SUBSTITUTE(TRIM(A50)," ","*")&amp;"*", CAM!$A:$A, CAM!$K:$K, "", 2),
"")</f>
        <v>699</v>
      </c>
      <c r="C50" s="1">
        <f>IFERROR(
  _xlfn.XLOOKUP("*"&amp;SUBSTITUTE(TRIM(A50)," ","*")&amp;"*", CAM!$A:$A, CAM!$Z:$Z, "", 2),
"")/12</f>
        <v>109</v>
      </c>
      <c r="D50" t="s">
        <v>258</v>
      </c>
      <c r="E50" s="1" t="s">
        <v>260</v>
      </c>
      <c r="F50" t="s">
        <v>261</v>
      </c>
      <c r="G50" s="1" t="s">
        <v>168</v>
      </c>
      <c r="H50" t="s">
        <v>263</v>
      </c>
      <c r="I50" s="1" t="s">
        <v>512</v>
      </c>
      <c r="J50" t="s">
        <v>464</v>
      </c>
      <c r="K50" t="s">
        <v>233</v>
      </c>
      <c r="L50" t="s">
        <v>470</v>
      </c>
      <c r="M50" t="s">
        <v>267</v>
      </c>
      <c r="N50" s="1" t="s">
        <v>20</v>
      </c>
      <c r="O50" t="s">
        <v>268</v>
      </c>
      <c r="P50" s="1" t="s">
        <v>270</v>
      </c>
      <c r="Q50" s="1" t="s">
        <v>272</v>
      </c>
      <c r="R50" s="1" t="s">
        <v>273</v>
      </c>
      <c r="S50" s="1" t="s">
        <v>20</v>
      </c>
      <c r="T50" s="19">
        <v>5.3</v>
      </c>
      <c r="U50" s="19" t="s">
        <v>20</v>
      </c>
      <c r="V50" s="1" t="s">
        <v>144</v>
      </c>
      <c r="W50" s="33">
        <v>47908</v>
      </c>
    </row>
    <row r="51" spans="1:23">
      <c r="A51" t="s">
        <v>401</v>
      </c>
      <c r="B51" s="1">
        <f>IFERROR(
  _xlfn.XLOOKUP("*"&amp;SUBSTITUTE(TRIM(A51)," ","*")&amp;"*", CAM!$A:$A, CAM!$K:$K, "", 2),
"")</f>
        <v>949</v>
      </c>
      <c r="C51" s="1">
        <f>IFERROR(
  _xlfn.XLOOKUP("*"&amp;SUBSTITUTE(TRIM(A51)," ","*")&amp;"*", CAM!$A:$A, CAM!$Z:$Z, "", 2),
"")/12</f>
        <v>134</v>
      </c>
      <c r="D51" t="s">
        <v>258</v>
      </c>
      <c r="E51" s="1" t="s">
        <v>227</v>
      </c>
      <c r="F51" t="s">
        <v>21</v>
      </c>
      <c r="G51" s="1" t="s">
        <v>168</v>
      </c>
      <c r="H51" t="s">
        <v>264</v>
      </c>
      <c r="I51" s="1" t="s">
        <v>513</v>
      </c>
      <c r="J51" t="s">
        <v>464</v>
      </c>
      <c r="K51" t="s">
        <v>233</v>
      </c>
      <c r="L51" t="s">
        <v>470</v>
      </c>
      <c r="M51" t="s">
        <v>266</v>
      </c>
      <c r="N51" s="1" t="s">
        <v>174</v>
      </c>
      <c r="O51" t="s">
        <v>268</v>
      </c>
      <c r="P51" s="1" t="s">
        <v>221</v>
      </c>
      <c r="Q51" s="1" t="s">
        <v>272</v>
      </c>
      <c r="R51" s="1" t="s">
        <v>257</v>
      </c>
      <c r="S51" s="1" t="s">
        <v>20</v>
      </c>
      <c r="T51" s="19">
        <v>5.3</v>
      </c>
      <c r="U51" s="19" t="s">
        <v>174</v>
      </c>
      <c r="V51" s="1" t="s">
        <v>144</v>
      </c>
      <c r="W51" s="33">
        <v>47119</v>
      </c>
    </row>
    <row r="52" spans="1:23">
      <c r="A52" t="s">
        <v>524</v>
      </c>
      <c r="B52" s="1">
        <f>IFERROR(
  _xlfn.XLOOKUP("*"&amp;SUBSTITUTE(TRIM(A52)," ","*")&amp;"*", CAM!$A:$A, CAM!$K:$K, "", 2),
"")</f>
        <v>1399</v>
      </c>
      <c r="C52" s="1">
        <f>IFERROR(
  _xlfn.XLOOKUP("*"&amp;SUBSTITUTE(TRIM(A52)," ","*")&amp;"*", CAM!$A:$A, CAM!$Z:$Z, "", 2),
"")/12</f>
        <v>198</v>
      </c>
      <c r="D52" t="s">
        <v>536</v>
      </c>
      <c r="E52" s="1" t="s">
        <v>538</v>
      </c>
      <c r="F52" s="22" t="s">
        <v>539</v>
      </c>
      <c r="G52" s="1" t="s">
        <v>168</v>
      </c>
      <c r="H52" s="22" t="s">
        <v>560</v>
      </c>
      <c r="I52" s="1" t="s">
        <v>541</v>
      </c>
      <c r="J52" t="s">
        <v>464</v>
      </c>
      <c r="K52" t="s">
        <v>233</v>
      </c>
      <c r="L52" t="s">
        <v>20</v>
      </c>
      <c r="M52" t="s">
        <v>266</v>
      </c>
      <c r="N52" s="1" t="s">
        <v>174</v>
      </c>
      <c r="O52" t="s">
        <v>175</v>
      </c>
      <c r="P52" s="1" t="s">
        <v>270</v>
      </c>
      <c r="Q52" s="1" t="s">
        <v>548</v>
      </c>
      <c r="R52" s="1" t="s">
        <v>549</v>
      </c>
      <c r="S52" s="1" t="s">
        <v>20</v>
      </c>
      <c r="T52" s="19">
        <v>5.4</v>
      </c>
      <c r="U52" s="19" t="s">
        <v>174</v>
      </c>
      <c r="V52" s="1" t="s">
        <v>144</v>
      </c>
      <c r="W52" s="20" t="s">
        <v>19</v>
      </c>
    </row>
    <row r="53" spans="1:23">
      <c r="A53" t="s">
        <v>525</v>
      </c>
      <c r="B53" s="1">
        <f>IFERROR(
  _xlfn.XLOOKUP("*"&amp;SUBSTITUTE(TRIM(A53)," ","*")&amp;"*", CAM!$A:$A, CAM!$K:$K, "", 2),
"")</f>
        <v>2109</v>
      </c>
      <c r="C53" s="1">
        <f>IFERROR(
  _xlfn.XLOOKUP("*"&amp;SUBSTITUTE(TRIM(A53)," ","*")&amp;"*", CAM!$A:$A, CAM!$Z:$Z, "", 2),
"")/12</f>
        <v>308</v>
      </c>
      <c r="D53" t="s">
        <v>537</v>
      </c>
      <c r="E53" s="1" t="s">
        <v>538</v>
      </c>
      <c r="F53" s="22" t="s">
        <v>539</v>
      </c>
      <c r="G53" s="1" t="s">
        <v>168</v>
      </c>
      <c r="H53" s="21" t="s">
        <v>561</v>
      </c>
      <c r="I53" s="1" t="s">
        <v>542</v>
      </c>
      <c r="J53" t="s">
        <v>465</v>
      </c>
      <c r="K53" t="s">
        <v>544</v>
      </c>
      <c r="L53" t="s">
        <v>20</v>
      </c>
      <c r="M53" t="s">
        <v>545</v>
      </c>
      <c r="N53" s="1" t="s">
        <v>174</v>
      </c>
      <c r="O53" t="s">
        <v>175</v>
      </c>
      <c r="P53" s="1" t="s">
        <v>221</v>
      </c>
      <c r="Q53" s="1" t="s">
        <v>272</v>
      </c>
      <c r="R53" s="1" t="s">
        <v>551</v>
      </c>
      <c r="S53" s="1" t="s">
        <v>20</v>
      </c>
      <c r="T53" s="19">
        <v>6</v>
      </c>
      <c r="U53" s="19" t="s">
        <v>174</v>
      </c>
      <c r="V53" s="1" t="s">
        <v>144</v>
      </c>
      <c r="W53" s="20" t="s">
        <v>19</v>
      </c>
    </row>
    <row r="54" spans="1:23">
      <c r="A54" t="s">
        <v>526</v>
      </c>
      <c r="B54" s="1">
        <f>IFERROR(
  _xlfn.XLOOKUP("*"&amp;SUBSTITUTE(TRIM(A54)," ","*")&amp;"*", CAM!$A:$A, CAM!$K:$K, "", 2),
"")</f>
        <v>2779</v>
      </c>
      <c r="C54" s="1">
        <f>IFERROR(
  _xlfn.XLOOKUP("*"&amp;SUBSTITUTE(TRIM(A54)," ","*")&amp;"*", CAM!$A:$A, CAM!$Z:$Z, "", 2),
"")/12</f>
        <v>405</v>
      </c>
      <c r="D54" t="s">
        <v>537</v>
      </c>
      <c r="E54" s="1" t="s">
        <v>163</v>
      </c>
      <c r="F54" s="22" t="s">
        <v>539</v>
      </c>
      <c r="G54" s="1" t="s">
        <v>540</v>
      </c>
      <c r="H54" s="21" t="s">
        <v>562</v>
      </c>
      <c r="I54" s="1" t="s">
        <v>543</v>
      </c>
      <c r="J54" t="s">
        <v>465</v>
      </c>
      <c r="K54" t="s">
        <v>544</v>
      </c>
      <c r="L54" t="s">
        <v>20</v>
      </c>
      <c r="M54" t="s">
        <v>546</v>
      </c>
      <c r="N54" s="1" t="s">
        <v>174</v>
      </c>
      <c r="O54" t="s">
        <v>547</v>
      </c>
      <c r="P54" s="1" t="s">
        <v>221</v>
      </c>
      <c r="Q54" s="1" t="s">
        <v>272</v>
      </c>
      <c r="R54" s="1" t="s">
        <v>550</v>
      </c>
      <c r="S54" s="1" t="s">
        <v>174</v>
      </c>
      <c r="T54" s="19">
        <v>6</v>
      </c>
      <c r="U54" s="19" t="s">
        <v>174</v>
      </c>
      <c r="V54" s="1" t="s">
        <v>144</v>
      </c>
      <c r="W54" s="20" t="s">
        <v>19</v>
      </c>
    </row>
    <row r="55" spans="1:23">
      <c r="A55" t="s">
        <v>41</v>
      </c>
      <c r="B55" s="1">
        <f>IFERROR(
  _xlfn.XLOOKUP("*"&amp;SUBSTITUTE(TRIM(A55)," ","*")&amp;"*", CAM!$A:$A, CAM!$K:$K, "", 2),
"")</f>
        <v>199</v>
      </c>
      <c r="C55" s="1">
        <f>IFERROR(
  _xlfn.XLOOKUP("*"&amp;SUBSTITUTE(TRIM(A55)," ","*")&amp;"*", CAM!$A:$A, CAM!$Z:$Z, "", 2),
"")/12</f>
        <v>31</v>
      </c>
      <c r="D55" t="s">
        <v>274</v>
      </c>
      <c r="E55" s="1" t="s">
        <v>276</v>
      </c>
      <c r="F55" t="s">
        <v>19</v>
      </c>
      <c r="G55" s="1" t="s">
        <v>169</v>
      </c>
      <c r="H55" t="s">
        <v>278</v>
      </c>
      <c r="I55" s="1" t="s">
        <v>514</v>
      </c>
      <c r="J55" t="s">
        <v>484</v>
      </c>
      <c r="K55" t="s">
        <v>173</v>
      </c>
      <c r="L55" t="s">
        <v>470</v>
      </c>
      <c r="M55" t="s">
        <v>279</v>
      </c>
      <c r="N55" s="1" t="s">
        <v>20</v>
      </c>
      <c r="O55" t="s">
        <v>176</v>
      </c>
      <c r="P55" s="1" t="s">
        <v>182</v>
      </c>
      <c r="Q55" s="1" t="s">
        <v>271</v>
      </c>
      <c r="R55" s="1" t="s">
        <v>187</v>
      </c>
      <c r="S55" s="1" t="s">
        <v>20</v>
      </c>
      <c r="T55" s="19">
        <v>5.2</v>
      </c>
      <c r="U55" s="19" t="s">
        <v>20</v>
      </c>
      <c r="V55" s="1" t="s">
        <v>195</v>
      </c>
      <c r="W55" s="18" t="s">
        <v>482</v>
      </c>
    </row>
    <row r="56" spans="1:23">
      <c r="A56" t="s">
        <v>624</v>
      </c>
      <c r="B56" s="1">
        <f>IFERROR(
  _xlfn.XLOOKUP("*"&amp;SUBSTITUTE(TRIM(A56)," ","*")&amp;"*", CAM!$A:$A, CAM!$K:$K, "", 2),
"")</f>
        <v>249</v>
      </c>
      <c r="C56" s="1">
        <f>IFERROR(
  _xlfn.XLOOKUP("*"&amp;SUBSTITUTE(TRIM(A56)," ","*")&amp;"*", CAM!$A:$A, CAM!$Z:$Z, "", 2),
"")/12</f>
        <v>40</v>
      </c>
      <c r="D56" t="s">
        <v>275</v>
      </c>
      <c r="E56" s="1" t="s">
        <v>636</v>
      </c>
      <c r="F56" s="22" t="s">
        <v>19</v>
      </c>
      <c r="G56" s="1" t="s">
        <v>169</v>
      </c>
      <c r="H56" t="s">
        <v>637</v>
      </c>
      <c r="I56" s="1" t="s">
        <v>638</v>
      </c>
      <c r="J56" t="s">
        <v>485</v>
      </c>
      <c r="K56" t="s">
        <v>173</v>
      </c>
      <c r="L56" t="s">
        <v>470</v>
      </c>
      <c r="M56" t="s">
        <v>280</v>
      </c>
      <c r="N56" s="1" t="s">
        <v>20</v>
      </c>
      <c r="O56" t="s">
        <v>176</v>
      </c>
      <c r="P56" s="1" t="s">
        <v>182</v>
      </c>
      <c r="Q56" s="1" t="s">
        <v>271</v>
      </c>
      <c r="R56" s="1" t="s">
        <v>187</v>
      </c>
      <c r="S56" s="1" t="s">
        <v>20</v>
      </c>
      <c r="T56" s="19">
        <v>5.2</v>
      </c>
      <c r="U56" s="19" t="s">
        <v>20</v>
      </c>
      <c r="V56" s="1" t="s">
        <v>195</v>
      </c>
      <c r="W56" s="18" t="s">
        <v>482</v>
      </c>
    </row>
    <row r="57" spans="1:23">
      <c r="A57" t="s">
        <v>42</v>
      </c>
      <c r="B57" s="1">
        <f>IFERROR(
  _xlfn.XLOOKUP("*"&amp;SUBSTITUTE(TRIM(A57)," ","*")&amp;"*", CAM!$A:$A, CAM!$K:$K, "", 2),
"")</f>
        <v>299</v>
      </c>
      <c r="C57" s="1">
        <f>IFERROR(
  _xlfn.XLOOKUP("*"&amp;SUBSTITUTE(TRIM(A57)," ","*")&amp;"*", CAM!$A:$A, CAM!$Z:$Z, "", 2),
"")/12</f>
        <v>46</v>
      </c>
      <c r="D57" t="s">
        <v>275</v>
      </c>
      <c r="E57" s="1" t="s">
        <v>277</v>
      </c>
      <c r="F57" t="s">
        <v>19</v>
      </c>
      <c r="G57" s="1" t="s">
        <v>169</v>
      </c>
      <c r="H57" t="s">
        <v>278</v>
      </c>
      <c r="I57" s="1" t="s">
        <v>514</v>
      </c>
      <c r="J57" t="s">
        <v>485</v>
      </c>
      <c r="K57" t="s">
        <v>171</v>
      </c>
      <c r="L57" t="s">
        <v>470</v>
      </c>
      <c r="M57" t="s">
        <v>280</v>
      </c>
      <c r="N57" s="1" t="s">
        <v>20</v>
      </c>
      <c r="O57" t="s">
        <v>176</v>
      </c>
      <c r="P57" s="1" t="s">
        <v>183</v>
      </c>
      <c r="Q57" s="1" t="s">
        <v>271</v>
      </c>
      <c r="R57" s="1" t="s">
        <v>187</v>
      </c>
      <c r="S57" s="1" t="s">
        <v>20</v>
      </c>
      <c r="T57" s="19">
        <v>5.2</v>
      </c>
      <c r="U57" s="19" t="s">
        <v>20</v>
      </c>
      <c r="V57" s="1" t="s">
        <v>195</v>
      </c>
      <c r="W57" s="18" t="s">
        <v>482</v>
      </c>
    </row>
    <row r="58" spans="1:23">
      <c r="A58" t="s">
        <v>43</v>
      </c>
      <c r="B58" s="1">
        <f>IFERROR(
  _xlfn.XLOOKUP("*"&amp;SUBSTITUTE(TRIM(A58)," ","*")&amp;"*", CAM!$A:$A, CAM!$K:$K, "", 2),
"")</f>
        <v>349</v>
      </c>
      <c r="C58" s="1">
        <f>IFERROR(
  _xlfn.XLOOKUP("*"&amp;SUBSTITUTE(TRIM(A58)," ","*")&amp;"*", CAM!$A:$A, CAM!$Z:$Z, "", 2),
"")/12</f>
        <v>49</v>
      </c>
      <c r="D58" t="s">
        <v>274</v>
      </c>
      <c r="E58" s="1" t="s">
        <v>19</v>
      </c>
      <c r="F58" t="s">
        <v>19</v>
      </c>
      <c r="G58" s="1" t="s">
        <v>169</v>
      </c>
      <c r="H58" t="s">
        <v>278</v>
      </c>
      <c r="I58" s="1" t="s">
        <v>514</v>
      </c>
      <c r="J58" t="s">
        <v>485</v>
      </c>
      <c r="K58" t="s">
        <v>171</v>
      </c>
      <c r="L58" t="s">
        <v>470</v>
      </c>
      <c r="M58" t="s">
        <v>281</v>
      </c>
      <c r="N58" s="1" t="s">
        <v>20</v>
      </c>
      <c r="O58" t="s">
        <v>176</v>
      </c>
      <c r="P58" s="1" t="s">
        <v>282</v>
      </c>
      <c r="Q58" s="1" t="s">
        <v>201</v>
      </c>
      <c r="R58" s="1" t="s">
        <v>187</v>
      </c>
      <c r="S58" s="1" t="s">
        <v>20</v>
      </c>
      <c r="T58" s="19">
        <v>5.2</v>
      </c>
      <c r="U58" s="19" t="s">
        <v>20</v>
      </c>
      <c r="V58" s="1" t="s">
        <v>195</v>
      </c>
      <c r="W58" s="18" t="s">
        <v>482</v>
      </c>
    </row>
    <row r="59" spans="1:23">
      <c r="A59" t="s">
        <v>44</v>
      </c>
      <c r="B59" s="1">
        <f>IFERROR(
  _xlfn.XLOOKUP("*"&amp;SUBSTITUTE(TRIM(A59)," ","*")&amp;"*", CAM!$A:$A, CAM!$K:$K, "", 2),
"")</f>
        <v>479</v>
      </c>
      <c r="C59" s="1">
        <f>IFERROR(
  _xlfn.XLOOKUP("*"&amp;SUBSTITUTE(TRIM(A59)," ","*")&amp;"*", CAM!$A:$A, CAM!$Z:$Z, "", 2),
"")/12</f>
        <v>68</v>
      </c>
      <c r="D59" t="s">
        <v>284</v>
      </c>
      <c r="E59" s="1" t="s">
        <v>19</v>
      </c>
      <c r="F59" t="s">
        <v>19</v>
      </c>
      <c r="G59" s="1" t="s">
        <v>169</v>
      </c>
      <c r="H59" t="s">
        <v>285</v>
      </c>
      <c r="I59" s="1" t="s">
        <v>515</v>
      </c>
      <c r="J59" t="s">
        <v>486</v>
      </c>
      <c r="K59" t="s">
        <v>172</v>
      </c>
      <c r="L59" t="s">
        <v>470</v>
      </c>
      <c r="M59" t="s">
        <v>286</v>
      </c>
      <c r="N59" s="1" t="s">
        <v>20</v>
      </c>
      <c r="O59" t="s">
        <v>176</v>
      </c>
      <c r="P59" s="1" t="s">
        <v>181</v>
      </c>
      <c r="Q59" s="1" t="s">
        <v>201</v>
      </c>
      <c r="R59" s="1" t="s">
        <v>287</v>
      </c>
      <c r="S59" s="1" t="s">
        <v>20</v>
      </c>
      <c r="T59" s="19">
        <v>5.2</v>
      </c>
      <c r="U59" s="19" t="s">
        <v>20</v>
      </c>
      <c r="V59" s="1" t="s">
        <v>195</v>
      </c>
      <c r="W59" s="18" t="s">
        <v>482</v>
      </c>
    </row>
    <row r="60" spans="1:23">
      <c r="A60" t="s">
        <v>45</v>
      </c>
      <c r="B60" s="1">
        <f>IFERROR(
  _xlfn.XLOOKUP("*"&amp;SUBSTITUTE(TRIM(A60)," ","*")&amp;"*", CAM!$A:$A, CAM!$K:$K, "", 2),
"")</f>
        <v>449</v>
      </c>
      <c r="C60" s="1">
        <f>IFERROR(
  _xlfn.XLOOKUP("*"&amp;SUBSTITUTE(TRIM(A60)," ","*")&amp;"*", CAM!$A:$A, CAM!$Z:$Z, "", 2),
"")/12</f>
        <v>64</v>
      </c>
      <c r="D60" t="s">
        <v>283</v>
      </c>
      <c r="E60" s="1" t="s">
        <v>19</v>
      </c>
      <c r="F60" t="s">
        <v>261</v>
      </c>
      <c r="G60" s="1" t="s">
        <v>168</v>
      </c>
      <c r="H60" t="s">
        <v>285</v>
      </c>
      <c r="I60" s="1" t="s">
        <v>515</v>
      </c>
      <c r="J60" t="s">
        <v>487</v>
      </c>
      <c r="K60" t="s">
        <v>172</v>
      </c>
      <c r="L60" t="s">
        <v>19</v>
      </c>
      <c r="M60" t="s">
        <v>236</v>
      </c>
      <c r="N60" s="1" t="s">
        <v>20</v>
      </c>
      <c r="O60" t="s">
        <v>176</v>
      </c>
      <c r="P60" s="1" t="s">
        <v>282</v>
      </c>
      <c r="Q60" s="1" t="s">
        <v>184</v>
      </c>
      <c r="R60" s="1" t="s">
        <v>287</v>
      </c>
      <c r="S60" s="1" t="s">
        <v>20</v>
      </c>
      <c r="T60" s="19">
        <v>5.2</v>
      </c>
      <c r="U60" s="19" t="s">
        <v>20</v>
      </c>
      <c r="V60" s="1" t="s">
        <v>195</v>
      </c>
      <c r="W60" s="18" t="s">
        <v>482</v>
      </c>
    </row>
    <row r="61" spans="1:23">
      <c r="A61" t="s">
        <v>652</v>
      </c>
      <c r="B61" s="1">
        <f>IFERROR(
  _xlfn.XLOOKUP("*"&amp;SUBSTITUTE(TRIM(A61)," ","*")&amp;"*", CAM!$A:$A, CAM!$K:$K, "", 2),
"")</f>
        <v>869</v>
      </c>
      <c r="C61" s="1">
        <f>IFERROR(
  _xlfn.XLOOKUP("*"&amp;SUBSTITUTE(TRIM(A61)," ","*")&amp;"*", CAM!$A:$A, CAM!$Z:$Z, "", 2),
"")/12</f>
        <v>127</v>
      </c>
      <c r="D61" t="s">
        <v>677</v>
      </c>
      <c r="E61" s="1" t="s">
        <v>678</v>
      </c>
      <c r="F61" s="22" t="s">
        <v>679</v>
      </c>
      <c r="G61" s="1" t="s">
        <v>168</v>
      </c>
      <c r="H61" s="22" t="s">
        <v>680</v>
      </c>
      <c r="I61" s="1" t="s">
        <v>681</v>
      </c>
      <c r="J61" t="s">
        <v>486</v>
      </c>
      <c r="K61" t="s">
        <v>172</v>
      </c>
      <c r="L61" t="s">
        <v>19</v>
      </c>
      <c r="M61" t="s">
        <v>682</v>
      </c>
      <c r="N61" s="1" t="s">
        <v>19</v>
      </c>
      <c r="O61" t="s">
        <v>176</v>
      </c>
      <c r="P61" s="1" t="s">
        <v>270</v>
      </c>
      <c r="Q61" s="1" t="s">
        <v>201</v>
      </c>
      <c r="R61" s="1" t="s">
        <v>273</v>
      </c>
      <c r="S61" s="1" t="s">
        <v>20</v>
      </c>
      <c r="T61" s="19">
        <v>5.4</v>
      </c>
      <c r="U61" s="19" t="s">
        <v>20</v>
      </c>
      <c r="V61" s="1" t="s">
        <v>144</v>
      </c>
      <c r="W61" s="1" t="s">
        <v>19</v>
      </c>
    </row>
    <row r="62" spans="1:23">
      <c r="A62" t="s">
        <v>750</v>
      </c>
      <c r="B62" s="1">
        <f>IFERROR(
  _xlfn.XLOOKUP("*"&amp;SUBSTITUTE(TRIM(A62)," ","*")&amp;"*", CAM!$A:$A, CAM!$K:$K, "", 2),
"")</f>
        <v>749</v>
      </c>
      <c r="C62" s="1">
        <f>IFERROR(
  _xlfn.XLOOKUP("*"&amp;SUBSTITUTE(TRIM(A62)," ","*")&amp;"*", CAM!$A:$A, CAM!$Z:$Z, "", 2),
"")/12</f>
        <v>112</v>
      </c>
      <c r="D62" t="s">
        <v>752</v>
      </c>
      <c r="E62" s="1" t="s">
        <v>242</v>
      </c>
      <c r="F62" t="s">
        <v>21</v>
      </c>
      <c r="G62" s="1" t="s">
        <v>168</v>
      </c>
      <c r="H62" t="s">
        <v>753</v>
      </c>
      <c r="I62" s="1" t="s">
        <v>754</v>
      </c>
      <c r="J62" t="s">
        <v>755</v>
      </c>
      <c r="K62" s="22" t="s">
        <v>233</v>
      </c>
      <c r="L62" t="s">
        <v>470</v>
      </c>
      <c r="M62" t="s">
        <v>756</v>
      </c>
      <c r="N62" s="1" t="s">
        <v>20</v>
      </c>
      <c r="O62" t="s">
        <v>176</v>
      </c>
      <c r="P62" s="1" t="s">
        <v>181</v>
      </c>
      <c r="Q62" s="1" t="s">
        <v>201</v>
      </c>
      <c r="R62" s="1" t="s">
        <v>287</v>
      </c>
      <c r="S62" s="1" t="s">
        <v>20</v>
      </c>
      <c r="T62" s="1">
        <v>5.2</v>
      </c>
      <c r="U62" s="1" t="s">
        <v>19</v>
      </c>
      <c r="V62" s="1" t="s">
        <v>195</v>
      </c>
      <c r="W62" s="1" t="s">
        <v>19</v>
      </c>
    </row>
    <row r="63" spans="1:23">
      <c r="A63" t="s">
        <v>751</v>
      </c>
      <c r="B63" s="1">
        <f>IFERROR(
  _xlfn.XLOOKUP("*"&amp;SUBSTITUTE(TRIM(A63)," ","*")&amp;"*", CAM!$A:$A, CAM!$K:$K, "", 2),
"")</f>
        <v>579</v>
      </c>
      <c r="C63" s="1">
        <f>IFERROR(
  _xlfn.XLOOKUP("*"&amp;SUBSTITUTE(TRIM(A63)," ","*")&amp;"*", CAM!$A:$A, CAM!$Z:$Z, "", 2),
"")/12</f>
        <v>82</v>
      </c>
      <c r="D63" t="s">
        <v>283</v>
      </c>
      <c r="E63" s="1" t="s">
        <v>19</v>
      </c>
      <c r="F63" t="s">
        <v>21</v>
      </c>
      <c r="G63" s="1" t="s">
        <v>168</v>
      </c>
      <c r="H63" t="s">
        <v>757</v>
      </c>
      <c r="I63" s="1" t="s">
        <v>758</v>
      </c>
      <c r="J63" t="s">
        <v>759</v>
      </c>
      <c r="K63" s="22" t="s">
        <v>760</v>
      </c>
      <c r="L63" t="s">
        <v>19</v>
      </c>
      <c r="M63" t="s">
        <v>236</v>
      </c>
      <c r="N63" s="1" t="s">
        <v>20</v>
      </c>
      <c r="O63" t="s">
        <v>176</v>
      </c>
      <c r="P63" s="1" t="s">
        <v>181</v>
      </c>
      <c r="Q63" s="1" t="s">
        <v>184</v>
      </c>
      <c r="R63" s="1" t="s">
        <v>287</v>
      </c>
      <c r="S63" s="1" t="s">
        <v>20</v>
      </c>
      <c r="T63" s="1">
        <v>5</v>
      </c>
      <c r="U63" s="1" t="s">
        <v>19</v>
      </c>
      <c r="V63" s="1" t="s">
        <v>195</v>
      </c>
      <c r="W63" s="1" t="s">
        <v>19</v>
      </c>
    </row>
  </sheetData>
  <autoFilter ref="A1:W60" xr:uid="{E38CA8EC-C707-4F6F-8A6D-82A5122175EE}"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FD5B8-81F5-4BA4-864B-701141A39386}">
  <sheetPr codeName="Hoja4"/>
  <dimension ref="A1:AF269"/>
  <sheetViews>
    <sheetView workbookViewId="0">
      <pane xSplit="2" ySplit="1" topLeftCell="C98" activePane="bottomRight" state="frozen"/>
      <selection pane="topRight" activeCell="C1" sqref="C1"/>
      <selection pane="bottomLeft" activeCell="A2" sqref="A2"/>
      <selection pane="bottomRight" activeCell="A175" sqref="A175"/>
    </sheetView>
  </sheetViews>
  <sheetFormatPr baseColWidth="10" defaultRowHeight="15"/>
  <cols>
    <col min="1" max="1" width="32.85546875" bestFit="1" customWidth="1"/>
    <col min="2" max="2" width="21.28515625" customWidth="1"/>
  </cols>
  <sheetData>
    <row r="1" spans="1:32">
      <c r="A1" s="26" t="s">
        <v>288</v>
      </c>
      <c r="B1" s="27">
        <v>29.9</v>
      </c>
      <c r="C1" s="28">
        <v>35.9</v>
      </c>
      <c r="D1" s="27">
        <v>39.9</v>
      </c>
      <c r="E1" s="28">
        <v>45.9</v>
      </c>
      <c r="F1" s="27">
        <v>49.9</v>
      </c>
      <c r="G1" s="28">
        <v>55.9</v>
      </c>
      <c r="H1" s="27">
        <v>59.9</v>
      </c>
      <c r="I1" s="28">
        <v>65.900000000000006</v>
      </c>
      <c r="J1" s="27">
        <v>69.900000000000006</v>
      </c>
      <c r="K1" s="28">
        <v>74.900000000000006</v>
      </c>
      <c r="L1" s="27">
        <v>79.900000000000006</v>
      </c>
      <c r="M1" s="28">
        <v>85.9</v>
      </c>
      <c r="N1" s="27">
        <v>99.9</v>
      </c>
      <c r="O1" s="28">
        <v>114.9</v>
      </c>
      <c r="P1" s="29" t="s">
        <v>289</v>
      </c>
      <c r="Q1" s="27">
        <v>29.9</v>
      </c>
      <c r="R1" s="28">
        <v>35.9</v>
      </c>
      <c r="S1" s="27">
        <v>39.9</v>
      </c>
      <c r="T1" s="28">
        <v>45.9</v>
      </c>
      <c r="U1" s="27">
        <v>49.9</v>
      </c>
      <c r="V1" s="28">
        <v>55.9</v>
      </c>
      <c r="W1" s="27">
        <v>59.9</v>
      </c>
      <c r="X1" s="28">
        <v>65.900000000000006</v>
      </c>
      <c r="Y1" s="27">
        <v>69.900000000000006</v>
      </c>
      <c r="Z1" s="28">
        <v>74.900000000000006</v>
      </c>
      <c r="AA1" s="27">
        <v>79.900000000000006</v>
      </c>
      <c r="AB1" s="28">
        <v>85.9</v>
      </c>
      <c r="AC1" s="27">
        <v>99.9</v>
      </c>
      <c r="AD1" s="28">
        <v>114.9</v>
      </c>
      <c r="AE1" s="7" t="s">
        <v>290</v>
      </c>
      <c r="AF1" s="7"/>
    </row>
    <row r="2" spans="1:32">
      <c r="A2" s="30" t="s">
        <v>291</v>
      </c>
      <c r="B2" s="8">
        <v>299</v>
      </c>
      <c r="C2" s="8">
        <v>299</v>
      </c>
      <c r="D2" s="8">
        <v>299</v>
      </c>
      <c r="E2" s="8">
        <v>299</v>
      </c>
      <c r="F2" s="8">
        <v>299</v>
      </c>
      <c r="G2" s="8">
        <v>299</v>
      </c>
      <c r="H2" s="8">
        <v>299</v>
      </c>
      <c r="I2" s="8">
        <v>299</v>
      </c>
      <c r="J2" s="8">
        <v>299</v>
      </c>
      <c r="K2" s="8">
        <v>299</v>
      </c>
      <c r="L2" s="8">
        <v>299</v>
      </c>
      <c r="M2" s="8">
        <v>299</v>
      </c>
      <c r="N2" s="8">
        <v>299</v>
      </c>
      <c r="O2" s="8">
        <v>299</v>
      </c>
      <c r="P2" s="8">
        <v>299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8"/>
    </row>
    <row r="3" spans="1:32">
      <c r="A3" s="30" t="s">
        <v>292</v>
      </c>
      <c r="B3" s="8">
        <v>969</v>
      </c>
      <c r="C3" s="8">
        <v>969</v>
      </c>
      <c r="D3" s="8">
        <v>969</v>
      </c>
      <c r="E3" s="8">
        <v>949</v>
      </c>
      <c r="F3" s="8">
        <v>949</v>
      </c>
      <c r="G3" s="8">
        <v>949</v>
      </c>
      <c r="H3" s="8">
        <v>949</v>
      </c>
      <c r="I3" s="8">
        <v>939</v>
      </c>
      <c r="J3" s="8">
        <v>939</v>
      </c>
      <c r="K3" s="8">
        <v>939</v>
      </c>
      <c r="L3" s="8">
        <v>939</v>
      </c>
      <c r="M3" s="8">
        <v>909</v>
      </c>
      <c r="N3" s="8">
        <v>909</v>
      </c>
      <c r="O3" s="8">
        <v>909</v>
      </c>
      <c r="P3" s="8">
        <v>939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/>
    </row>
    <row r="4" spans="1:32">
      <c r="A4" s="30" t="s">
        <v>293</v>
      </c>
      <c r="B4" s="8">
        <v>1189</v>
      </c>
      <c r="C4" s="8">
        <v>1189</v>
      </c>
      <c r="D4" s="8">
        <v>1189</v>
      </c>
      <c r="E4" s="8">
        <v>1159</v>
      </c>
      <c r="F4" s="8">
        <v>1159</v>
      </c>
      <c r="G4" s="8">
        <v>1159</v>
      </c>
      <c r="H4" s="8">
        <v>1159</v>
      </c>
      <c r="I4" s="8">
        <v>1139</v>
      </c>
      <c r="J4" s="8">
        <v>1139</v>
      </c>
      <c r="K4" s="8">
        <v>1139</v>
      </c>
      <c r="L4" s="8">
        <v>1139</v>
      </c>
      <c r="M4" s="8">
        <v>1099</v>
      </c>
      <c r="N4" s="8">
        <v>1099</v>
      </c>
      <c r="O4" s="8">
        <v>1099</v>
      </c>
      <c r="P4" s="8">
        <v>1139</v>
      </c>
      <c r="Q4" s="8">
        <v>2376</v>
      </c>
      <c r="R4" s="8">
        <v>2376</v>
      </c>
      <c r="S4" s="8">
        <v>2376</v>
      </c>
      <c r="T4" s="8">
        <v>2244</v>
      </c>
      <c r="U4" s="8">
        <v>2244</v>
      </c>
      <c r="V4" s="8">
        <v>2244</v>
      </c>
      <c r="W4" s="8">
        <v>2244</v>
      </c>
      <c r="X4" s="8">
        <v>2112</v>
      </c>
      <c r="Y4" s="8">
        <v>2112</v>
      </c>
      <c r="Z4" s="8">
        <v>2112</v>
      </c>
      <c r="AA4" s="8">
        <v>2112</v>
      </c>
      <c r="AB4" s="8">
        <v>2112</v>
      </c>
      <c r="AC4" s="8">
        <v>2112</v>
      </c>
      <c r="AD4" s="8">
        <v>2112</v>
      </c>
      <c r="AE4" s="8">
        <v>2112</v>
      </c>
      <c r="AF4" s="9"/>
    </row>
    <row r="5" spans="1:32">
      <c r="A5" s="30" t="s">
        <v>294</v>
      </c>
      <c r="B5" s="8">
        <v>399</v>
      </c>
      <c r="C5" s="8">
        <v>399</v>
      </c>
      <c r="D5" s="8">
        <v>399</v>
      </c>
      <c r="E5" s="8">
        <v>399</v>
      </c>
      <c r="F5" s="8">
        <v>399</v>
      </c>
      <c r="G5" s="8">
        <v>399</v>
      </c>
      <c r="H5" s="8">
        <v>399</v>
      </c>
      <c r="I5" s="8">
        <v>399</v>
      </c>
      <c r="J5" s="8">
        <v>399</v>
      </c>
      <c r="K5" s="8">
        <v>399</v>
      </c>
      <c r="L5" s="8">
        <v>399</v>
      </c>
      <c r="M5" s="8">
        <v>399</v>
      </c>
      <c r="N5" s="8">
        <v>399</v>
      </c>
      <c r="O5" s="8">
        <v>399</v>
      </c>
      <c r="P5" s="8">
        <v>399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8"/>
    </row>
    <row r="6" spans="1:32">
      <c r="A6" s="30" t="s">
        <v>295</v>
      </c>
      <c r="B6" s="8">
        <v>339</v>
      </c>
      <c r="C6" s="8">
        <v>339</v>
      </c>
      <c r="D6" s="8">
        <v>339</v>
      </c>
      <c r="E6" s="8">
        <v>339</v>
      </c>
      <c r="F6" s="8">
        <v>339</v>
      </c>
      <c r="G6" s="8">
        <v>329</v>
      </c>
      <c r="H6" s="8">
        <v>329</v>
      </c>
      <c r="I6" s="8">
        <v>319</v>
      </c>
      <c r="J6" s="8">
        <v>319</v>
      </c>
      <c r="K6" s="8">
        <v>319</v>
      </c>
      <c r="L6" s="8">
        <v>319</v>
      </c>
      <c r="M6" s="8">
        <v>319</v>
      </c>
      <c r="N6" s="8">
        <v>319</v>
      </c>
      <c r="O6" s="8">
        <v>319</v>
      </c>
      <c r="P6" s="8">
        <v>319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8"/>
    </row>
    <row r="7" spans="1:32">
      <c r="A7" s="30" t="s">
        <v>296</v>
      </c>
      <c r="B7" s="8">
        <v>299</v>
      </c>
      <c r="C7" s="8">
        <v>299</v>
      </c>
      <c r="D7" s="8">
        <v>299</v>
      </c>
      <c r="E7" s="8">
        <v>299</v>
      </c>
      <c r="F7" s="8">
        <v>299</v>
      </c>
      <c r="G7" s="8">
        <v>299</v>
      </c>
      <c r="H7" s="8">
        <v>299</v>
      </c>
      <c r="I7" s="8">
        <v>299</v>
      </c>
      <c r="J7" s="8">
        <v>299</v>
      </c>
      <c r="K7" s="8">
        <v>299</v>
      </c>
      <c r="L7" s="8">
        <v>299</v>
      </c>
      <c r="M7" s="8">
        <v>299</v>
      </c>
      <c r="N7" s="8">
        <v>299</v>
      </c>
      <c r="O7" s="8">
        <v>299</v>
      </c>
      <c r="P7" s="8">
        <v>299</v>
      </c>
      <c r="Q7" s="8">
        <v>924</v>
      </c>
      <c r="R7" s="8">
        <v>924</v>
      </c>
      <c r="S7" s="8">
        <v>924</v>
      </c>
      <c r="T7" s="8">
        <v>876</v>
      </c>
      <c r="U7" s="8">
        <v>876</v>
      </c>
      <c r="V7" s="8">
        <v>876</v>
      </c>
      <c r="W7" s="8">
        <v>876</v>
      </c>
      <c r="X7" s="8">
        <v>828</v>
      </c>
      <c r="Y7" s="8">
        <v>828</v>
      </c>
      <c r="Z7" s="8">
        <v>828</v>
      </c>
      <c r="AA7" s="8">
        <v>828</v>
      </c>
      <c r="AB7" s="8">
        <v>828</v>
      </c>
      <c r="AC7" s="8">
        <v>828</v>
      </c>
      <c r="AD7" s="8">
        <v>828</v>
      </c>
      <c r="AE7" s="8">
        <v>828</v>
      </c>
      <c r="AF7" s="8"/>
    </row>
    <row r="8" spans="1:32">
      <c r="A8" s="31" t="s">
        <v>297</v>
      </c>
      <c r="B8" s="8">
        <v>249</v>
      </c>
      <c r="C8" s="8">
        <v>249</v>
      </c>
      <c r="D8" s="8">
        <v>249</v>
      </c>
      <c r="E8" s="8">
        <v>249</v>
      </c>
      <c r="F8" s="8">
        <v>249</v>
      </c>
      <c r="G8" s="8">
        <v>249</v>
      </c>
      <c r="H8" s="8">
        <v>249</v>
      </c>
      <c r="I8" s="8">
        <v>249</v>
      </c>
      <c r="J8" s="8">
        <v>249</v>
      </c>
      <c r="K8" s="8">
        <v>249</v>
      </c>
      <c r="L8" s="8">
        <v>249</v>
      </c>
      <c r="M8" s="8">
        <v>249</v>
      </c>
      <c r="N8" s="8">
        <v>249</v>
      </c>
      <c r="O8" s="8">
        <v>249</v>
      </c>
      <c r="P8" s="8">
        <v>249</v>
      </c>
      <c r="Q8" s="8">
        <v>924</v>
      </c>
      <c r="R8" s="8">
        <v>924</v>
      </c>
      <c r="S8" s="8">
        <v>924</v>
      </c>
      <c r="T8" s="8">
        <v>876</v>
      </c>
      <c r="U8" s="8">
        <v>876</v>
      </c>
      <c r="V8" s="8">
        <v>876</v>
      </c>
      <c r="W8" s="8">
        <v>876</v>
      </c>
      <c r="X8" s="8">
        <v>828</v>
      </c>
      <c r="Y8" s="8">
        <v>828</v>
      </c>
      <c r="Z8" s="8">
        <v>828</v>
      </c>
      <c r="AA8" s="8">
        <v>828</v>
      </c>
      <c r="AB8" s="8">
        <v>828</v>
      </c>
      <c r="AC8" s="8">
        <v>828</v>
      </c>
      <c r="AD8" s="8">
        <v>828</v>
      </c>
      <c r="AE8" s="8">
        <v>828</v>
      </c>
      <c r="AF8" s="8"/>
    </row>
    <row r="9" spans="1:32">
      <c r="A9" s="31" t="s">
        <v>27</v>
      </c>
      <c r="B9" s="8">
        <v>1989</v>
      </c>
      <c r="C9" s="8">
        <v>1989</v>
      </c>
      <c r="D9" s="8">
        <v>1989</v>
      </c>
      <c r="E9" s="8">
        <v>1989</v>
      </c>
      <c r="F9" s="8">
        <v>1989</v>
      </c>
      <c r="G9" s="8">
        <v>1989</v>
      </c>
      <c r="H9" s="8">
        <v>1989</v>
      </c>
      <c r="I9" s="8">
        <v>1989</v>
      </c>
      <c r="J9" s="8">
        <v>1989</v>
      </c>
      <c r="K9" s="8">
        <v>1989</v>
      </c>
      <c r="L9" s="8">
        <v>1989</v>
      </c>
      <c r="M9" s="8">
        <v>1899</v>
      </c>
      <c r="N9" s="8">
        <v>1899</v>
      </c>
      <c r="O9" s="8">
        <v>1899</v>
      </c>
      <c r="P9" s="8">
        <v>1899</v>
      </c>
      <c r="Q9" s="9">
        <v>0</v>
      </c>
      <c r="R9" s="9">
        <v>0</v>
      </c>
      <c r="S9" s="9">
        <v>0</v>
      </c>
      <c r="T9" s="8">
        <v>3384</v>
      </c>
      <c r="U9" s="8">
        <v>3384</v>
      </c>
      <c r="V9" s="8">
        <v>3384</v>
      </c>
      <c r="W9" s="8">
        <v>3384</v>
      </c>
      <c r="X9" s="8">
        <v>3036</v>
      </c>
      <c r="Y9" s="8">
        <v>3036</v>
      </c>
      <c r="Z9" s="8">
        <v>3036</v>
      </c>
      <c r="AA9" s="8">
        <v>3036</v>
      </c>
      <c r="AB9" s="8">
        <v>4092</v>
      </c>
      <c r="AC9" s="8">
        <v>4092</v>
      </c>
      <c r="AD9" s="8">
        <v>4092</v>
      </c>
      <c r="AE9" s="8">
        <v>3384</v>
      </c>
      <c r="AF9" s="9"/>
    </row>
    <row r="10" spans="1:32">
      <c r="A10" s="31" t="s">
        <v>298</v>
      </c>
      <c r="B10" s="8">
        <v>449</v>
      </c>
      <c r="C10" s="8">
        <v>449</v>
      </c>
      <c r="D10" s="8">
        <v>449</v>
      </c>
      <c r="E10" s="8">
        <v>439</v>
      </c>
      <c r="F10" s="8">
        <v>439</v>
      </c>
      <c r="G10" s="8">
        <v>439</v>
      </c>
      <c r="H10" s="8">
        <v>439</v>
      </c>
      <c r="I10" s="8">
        <v>429</v>
      </c>
      <c r="J10" s="8">
        <v>429</v>
      </c>
      <c r="K10" s="8">
        <v>429</v>
      </c>
      <c r="L10" s="8">
        <v>429</v>
      </c>
      <c r="M10" s="8">
        <v>419</v>
      </c>
      <c r="N10" s="8">
        <v>419</v>
      </c>
      <c r="O10" s="8">
        <v>419</v>
      </c>
      <c r="P10" s="8">
        <v>429</v>
      </c>
      <c r="Q10" s="8">
        <v>888</v>
      </c>
      <c r="R10" s="8">
        <v>888</v>
      </c>
      <c r="S10" s="8">
        <v>888</v>
      </c>
      <c r="T10" s="8">
        <v>840</v>
      </c>
      <c r="U10" s="8">
        <v>840</v>
      </c>
      <c r="V10" s="8">
        <v>840</v>
      </c>
      <c r="W10" s="8">
        <v>840</v>
      </c>
      <c r="X10" s="8">
        <v>792</v>
      </c>
      <c r="Y10" s="8">
        <v>792</v>
      </c>
      <c r="Z10" s="8">
        <v>792</v>
      </c>
      <c r="AA10" s="8">
        <v>792</v>
      </c>
      <c r="AB10" s="8">
        <v>792</v>
      </c>
      <c r="AC10" s="8">
        <v>792</v>
      </c>
      <c r="AD10" s="8">
        <v>792</v>
      </c>
      <c r="AE10" s="8">
        <v>792</v>
      </c>
      <c r="AF10" s="9"/>
    </row>
    <row r="11" spans="1:32">
      <c r="A11" s="31" t="s">
        <v>299</v>
      </c>
      <c r="B11" s="8">
        <v>709</v>
      </c>
      <c r="C11" s="8">
        <v>709</v>
      </c>
      <c r="D11" s="8">
        <v>709</v>
      </c>
      <c r="E11" s="8">
        <v>689</v>
      </c>
      <c r="F11" s="8">
        <v>689</v>
      </c>
      <c r="G11" s="8">
        <v>689</v>
      </c>
      <c r="H11" s="8">
        <v>689</v>
      </c>
      <c r="I11" s="8">
        <v>679</v>
      </c>
      <c r="J11" s="8">
        <v>679</v>
      </c>
      <c r="K11" s="8">
        <v>679</v>
      </c>
      <c r="L11" s="8">
        <v>679</v>
      </c>
      <c r="M11" s="8">
        <v>659</v>
      </c>
      <c r="N11" s="8">
        <v>659</v>
      </c>
      <c r="O11" s="8">
        <v>659</v>
      </c>
      <c r="P11" s="8">
        <v>679</v>
      </c>
      <c r="Q11" s="8">
        <v>1416</v>
      </c>
      <c r="R11" s="8">
        <v>1416</v>
      </c>
      <c r="S11" s="8">
        <v>1416</v>
      </c>
      <c r="T11" s="8">
        <v>1332</v>
      </c>
      <c r="U11" s="8">
        <v>1332</v>
      </c>
      <c r="V11" s="8">
        <v>1332</v>
      </c>
      <c r="W11" s="8">
        <v>1332</v>
      </c>
      <c r="X11" s="8">
        <v>1260</v>
      </c>
      <c r="Y11" s="8">
        <v>1260</v>
      </c>
      <c r="Z11" s="8">
        <v>1260</v>
      </c>
      <c r="AA11" s="8">
        <v>1260</v>
      </c>
      <c r="AB11" s="8">
        <v>1260</v>
      </c>
      <c r="AC11" s="8">
        <v>1260</v>
      </c>
      <c r="AD11" s="8">
        <v>1260</v>
      </c>
      <c r="AE11" s="8">
        <v>1260</v>
      </c>
      <c r="AF11" s="8"/>
    </row>
    <row r="12" spans="1:32">
      <c r="A12" s="31" t="s">
        <v>300</v>
      </c>
      <c r="B12" s="8">
        <v>799</v>
      </c>
      <c r="C12" s="8">
        <v>799</v>
      </c>
      <c r="D12" s="8">
        <v>799</v>
      </c>
      <c r="E12" s="8">
        <v>799</v>
      </c>
      <c r="F12" s="8">
        <v>799</v>
      </c>
      <c r="G12" s="8">
        <v>799</v>
      </c>
      <c r="H12" s="8">
        <v>799</v>
      </c>
      <c r="I12" s="8">
        <v>799</v>
      </c>
      <c r="J12" s="8">
        <v>799</v>
      </c>
      <c r="K12" s="8">
        <v>799</v>
      </c>
      <c r="L12" s="8">
        <v>799</v>
      </c>
      <c r="M12" s="8">
        <v>799</v>
      </c>
      <c r="N12" s="8">
        <v>799</v>
      </c>
      <c r="O12" s="8">
        <v>799</v>
      </c>
      <c r="P12" s="8">
        <v>799</v>
      </c>
      <c r="Q12" s="8">
        <v>2700</v>
      </c>
      <c r="R12" s="8">
        <v>2700</v>
      </c>
      <c r="S12" s="8">
        <v>2700</v>
      </c>
      <c r="T12" s="8">
        <v>2544</v>
      </c>
      <c r="U12" s="8">
        <v>2544</v>
      </c>
      <c r="V12" s="8">
        <v>2544</v>
      </c>
      <c r="W12" s="8">
        <v>2544</v>
      </c>
      <c r="X12" s="8">
        <v>2400</v>
      </c>
      <c r="Y12" s="8">
        <v>2400</v>
      </c>
      <c r="Z12" s="8">
        <v>2400</v>
      </c>
      <c r="AA12" s="8">
        <v>2400</v>
      </c>
      <c r="AB12" s="8">
        <v>2400</v>
      </c>
      <c r="AC12" s="8">
        <v>2400</v>
      </c>
      <c r="AD12" s="8">
        <v>2400</v>
      </c>
      <c r="AE12" s="8">
        <v>2400</v>
      </c>
      <c r="AF12" s="9"/>
    </row>
    <row r="13" spans="1:32">
      <c r="A13" s="31" t="s">
        <v>301</v>
      </c>
      <c r="B13" s="8">
        <v>499</v>
      </c>
      <c r="C13" s="8">
        <v>499</v>
      </c>
      <c r="D13" s="8">
        <v>499</v>
      </c>
      <c r="E13" s="8">
        <v>499</v>
      </c>
      <c r="F13" s="8">
        <v>499</v>
      </c>
      <c r="G13" s="8">
        <v>499</v>
      </c>
      <c r="H13" s="8">
        <v>499</v>
      </c>
      <c r="I13" s="8">
        <v>499</v>
      </c>
      <c r="J13" s="8">
        <v>499</v>
      </c>
      <c r="K13" s="8">
        <v>499</v>
      </c>
      <c r="L13" s="8">
        <v>499</v>
      </c>
      <c r="M13" s="8">
        <v>499</v>
      </c>
      <c r="N13" s="8">
        <v>499</v>
      </c>
      <c r="O13" s="8">
        <v>499</v>
      </c>
      <c r="P13" s="8">
        <v>499</v>
      </c>
      <c r="Q13" s="8">
        <v>1452</v>
      </c>
      <c r="R13" s="8">
        <v>1452</v>
      </c>
      <c r="S13" s="8">
        <v>1452</v>
      </c>
      <c r="T13" s="8">
        <v>1368</v>
      </c>
      <c r="U13" s="8">
        <v>1368</v>
      </c>
      <c r="V13" s="8">
        <v>1368</v>
      </c>
      <c r="W13" s="8">
        <v>1368</v>
      </c>
      <c r="X13" s="8">
        <v>1296</v>
      </c>
      <c r="Y13" s="8">
        <v>1296</v>
      </c>
      <c r="Z13" s="8">
        <v>1296</v>
      </c>
      <c r="AA13" s="8">
        <v>1296</v>
      </c>
      <c r="AB13" s="8">
        <v>1296</v>
      </c>
      <c r="AC13" s="8">
        <v>1296</v>
      </c>
      <c r="AD13" s="8">
        <v>1296</v>
      </c>
      <c r="AE13" s="8">
        <v>1296</v>
      </c>
      <c r="AF13" s="8"/>
    </row>
    <row r="14" spans="1:32">
      <c r="A14" s="31" t="s">
        <v>302</v>
      </c>
      <c r="B14" s="8">
        <v>299</v>
      </c>
      <c r="C14" s="8">
        <v>299</v>
      </c>
      <c r="D14" s="8">
        <v>299</v>
      </c>
      <c r="E14" s="8">
        <v>299</v>
      </c>
      <c r="F14" s="8">
        <v>299</v>
      </c>
      <c r="G14" s="8">
        <v>299</v>
      </c>
      <c r="H14" s="8">
        <v>299</v>
      </c>
      <c r="I14" s="8">
        <v>299</v>
      </c>
      <c r="J14" s="8">
        <v>299</v>
      </c>
      <c r="K14" s="8">
        <v>299</v>
      </c>
      <c r="L14" s="8">
        <v>299</v>
      </c>
      <c r="M14" s="8">
        <v>299</v>
      </c>
      <c r="N14" s="8">
        <v>299</v>
      </c>
      <c r="O14" s="8">
        <v>299</v>
      </c>
      <c r="P14" s="8">
        <v>299</v>
      </c>
      <c r="Q14" s="8">
        <v>768</v>
      </c>
      <c r="R14" s="8">
        <v>768</v>
      </c>
      <c r="S14" s="8">
        <v>768</v>
      </c>
      <c r="T14" s="8">
        <v>720</v>
      </c>
      <c r="U14" s="8">
        <v>720</v>
      </c>
      <c r="V14" s="8">
        <v>720</v>
      </c>
      <c r="W14" s="8">
        <v>720</v>
      </c>
      <c r="X14" s="8">
        <v>684</v>
      </c>
      <c r="Y14" s="8">
        <v>684</v>
      </c>
      <c r="Z14" s="8">
        <v>684</v>
      </c>
      <c r="AA14" s="8">
        <v>684</v>
      </c>
      <c r="AB14" s="8">
        <v>684</v>
      </c>
      <c r="AC14" s="8">
        <v>684</v>
      </c>
      <c r="AD14" s="8">
        <v>684</v>
      </c>
      <c r="AE14" s="8">
        <v>684</v>
      </c>
      <c r="AF14" s="8"/>
    </row>
    <row r="15" spans="1:32">
      <c r="A15" s="31" t="s">
        <v>303</v>
      </c>
      <c r="B15" s="8">
        <v>599</v>
      </c>
      <c r="C15" s="8">
        <v>599</v>
      </c>
      <c r="D15" s="8">
        <v>599</v>
      </c>
      <c r="E15" s="8">
        <v>599</v>
      </c>
      <c r="F15" s="8">
        <v>599</v>
      </c>
      <c r="G15" s="8">
        <v>599</v>
      </c>
      <c r="H15" s="8">
        <v>599</v>
      </c>
      <c r="I15" s="8">
        <v>599</v>
      </c>
      <c r="J15" s="8">
        <v>599</v>
      </c>
      <c r="K15" s="8">
        <v>599</v>
      </c>
      <c r="L15" s="8">
        <v>599</v>
      </c>
      <c r="M15" s="8">
        <v>599</v>
      </c>
      <c r="N15" s="8">
        <v>599</v>
      </c>
      <c r="O15" s="8">
        <v>599</v>
      </c>
      <c r="P15" s="8">
        <v>599</v>
      </c>
      <c r="Q15" s="8">
        <v>3120</v>
      </c>
      <c r="R15" s="8">
        <v>3120</v>
      </c>
      <c r="S15" s="8">
        <v>3120</v>
      </c>
      <c r="T15" s="8">
        <v>2940</v>
      </c>
      <c r="U15" s="8">
        <v>2940</v>
      </c>
      <c r="V15" s="8">
        <v>2940</v>
      </c>
      <c r="W15" s="8">
        <v>2940</v>
      </c>
      <c r="X15" s="8">
        <v>2772</v>
      </c>
      <c r="Y15" s="8">
        <v>2772</v>
      </c>
      <c r="Z15" s="8">
        <v>2772</v>
      </c>
      <c r="AA15" s="8">
        <v>2772</v>
      </c>
      <c r="AB15" s="8">
        <v>2772</v>
      </c>
      <c r="AC15" s="8">
        <v>2772</v>
      </c>
      <c r="AD15" s="8">
        <v>2772</v>
      </c>
      <c r="AE15" s="8">
        <v>2772</v>
      </c>
      <c r="AF15" s="8"/>
    </row>
    <row r="16" spans="1:32">
      <c r="A16" s="31" t="s">
        <v>304</v>
      </c>
      <c r="B16" s="8">
        <v>249</v>
      </c>
      <c r="C16" s="8">
        <v>249</v>
      </c>
      <c r="D16" s="8">
        <v>249</v>
      </c>
      <c r="E16" s="8">
        <v>249</v>
      </c>
      <c r="F16" s="8">
        <v>249</v>
      </c>
      <c r="G16" s="8">
        <v>249</v>
      </c>
      <c r="H16" s="8">
        <v>249</v>
      </c>
      <c r="I16" s="8">
        <v>249</v>
      </c>
      <c r="J16" s="8">
        <v>249</v>
      </c>
      <c r="K16" s="8">
        <v>249</v>
      </c>
      <c r="L16" s="8">
        <v>249</v>
      </c>
      <c r="M16" s="8">
        <v>249</v>
      </c>
      <c r="N16" s="8">
        <v>249</v>
      </c>
      <c r="O16" s="8">
        <v>249</v>
      </c>
      <c r="P16" s="8">
        <v>249</v>
      </c>
      <c r="Q16" s="8">
        <v>1140</v>
      </c>
      <c r="R16" s="8">
        <v>1140</v>
      </c>
      <c r="S16" s="8">
        <v>1140</v>
      </c>
      <c r="T16" s="8">
        <v>1080</v>
      </c>
      <c r="U16" s="8">
        <v>1080</v>
      </c>
      <c r="V16" s="8">
        <v>1080</v>
      </c>
      <c r="W16" s="8">
        <v>1080</v>
      </c>
      <c r="X16" s="8">
        <v>1020</v>
      </c>
      <c r="Y16" s="8">
        <v>1020</v>
      </c>
      <c r="Z16" s="8">
        <v>1020</v>
      </c>
      <c r="AA16" s="8">
        <v>1020</v>
      </c>
      <c r="AB16" s="8">
        <v>1020</v>
      </c>
      <c r="AC16" s="8">
        <v>1020</v>
      </c>
      <c r="AD16" s="8">
        <v>1020</v>
      </c>
      <c r="AE16" s="8">
        <v>1020</v>
      </c>
      <c r="AF16" s="9"/>
    </row>
    <row r="17" spans="1:32">
      <c r="A17" s="31" t="s">
        <v>305</v>
      </c>
      <c r="B17" s="8">
        <v>799</v>
      </c>
      <c r="C17" s="8">
        <v>799</v>
      </c>
      <c r="D17" s="8">
        <v>799</v>
      </c>
      <c r="E17" s="8">
        <v>799</v>
      </c>
      <c r="F17" s="8">
        <v>799</v>
      </c>
      <c r="G17" s="8">
        <v>799</v>
      </c>
      <c r="H17" s="8">
        <v>799</v>
      </c>
      <c r="I17" s="8">
        <v>799</v>
      </c>
      <c r="J17" s="8">
        <v>799</v>
      </c>
      <c r="K17" s="8">
        <v>799</v>
      </c>
      <c r="L17" s="8">
        <v>799</v>
      </c>
      <c r="M17" s="8">
        <v>799</v>
      </c>
      <c r="N17" s="8">
        <v>799</v>
      </c>
      <c r="O17" s="8">
        <v>799</v>
      </c>
      <c r="P17" s="8">
        <v>799</v>
      </c>
      <c r="Q17" s="8">
        <v>1548</v>
      </c>
      <c r="R17" s="8">
        <v>1548</v>
      </c>
      <c r="S17" s="8">
        <v>1548</v>
      </c>
      <c r="T17" s="8">
        <v>1464</v>
      </c>
      <c r="U17" s="8">
        <v>1464</v>
      </c>
      <c r="V17" s="8">
        <v>1464</v>
      </c>
      <c r="W17" s="8">
        <v>1464</v>
      </c>
      <c r="X17" s="8">
        <v>1380</v>
      </c>
      <c r="Y17" s="8">
        <v>1380</v>
      </c>
      <c r="Z17" s="8">
        <v>1380</v>
      </c>
      <c r="AA17" s="8">
        <v>1380</v>
      </c>
      <c r="AB17" s="8">
        <v>1380</v>
      </c>
      <c r="AC17" s="8">
        <v>1380</v>
      </c>
      <c r="AD17" s="8">
        <v>1380</v>
      </c>
      <c r="AE17" s="8">
        <v>1380</v>
      </c>
      <c r="AF17" s="8"/>
    </row>
    <row r="18" spans="1:32">
      <c r="A18" s="31" t="s">
        <v>306</v>
      </c>
      <c r="B18" s="8">
        <v>2799</v>
      </c>
      <c r="C18" s="8">
        <v>2799</v>
      </c>
      <c r="D18" s="8">
        <v>2799</v>
      </c>
      <c r="E18" s="8">
        <v>2799</v>
      </c>
      <c r="F18" s="8">
        <v>2799</v>
      </c>
      <c r="G18" s="8">
        <v>2799</v>
      </c>
      <c r="H18" s="8">
        <v>2799</v>
      </c>
      <c r="I18" s="8">
        <v>2779</v>
      </c>
      <c r="J18" s="8">
        <v>2779</v>
      </c>
      <c r="K18" s="8">
        <v>2779</v>
      </c>
      <c r="L18" s="8">
        <v>2779</v>
      </c>
      <c r="M18" s="8">
        <v>2779</v>
      </c>
      <c r="N18" s="8">
        <v>2779</v>
      </c>
      <c r="O18" s="8">
        <v>2779</v>
      </c>
      <c r="P18" s="8">
        <v>2779</v>
      </c>
      <c r="Q18" s="8">
        <v>5712</v>
      </c>
      <c r="R18" s="8">
        <v>5712</v>
      </c>
      <c r="S18" s="8">
        <v>5712</v>
      </c>
      <c r="T18" s="8">
        <v>5196</v>
      </c>
      <c r="U18" s="8">
        <v>5196</v>
      </c>
      <c r="V18" s="8">
        <v>5196</v>
      </c>
      <c r="W18" s="8">
        <v>5196</v>
      </c>
      <c r="X18" s="8">
        <v>4728</v>
      </c>
      <c r="Y18" s="8">
        <v>4728</v>
      </c>
      <c r="Z18" s="8">
        <v>4728</v>
      </c>
      <c r="AA18" s="8">
        <v>4728</v>
      </c>
      <c r="AB18" s="8">
        <v>4728</v>
      </c>
      <c r="AC18" s="8">
        <v>4728</v>
      </c>
      <c r="AD18" s="8">
        <v>4728</v>
      </c>
      <c r="AE18" s="8">
        <v>4452</v>
      </c>
      <c r="AF18" s="9"/>
    </row>
    <row r="19" spans="1:32">
      <c r="A19" s="31" t="s">
        <v>307</v>
      </c>
      <c r="B19" s="8">
        <v>799</v>
      </c>
      <c r="C19" s="8">
        <v>799</v>
      </c>
      <c r="D19" s="8">
        <v>799</v>
      </c>
      <c r="E19" s="8">
        <v>799</v>
      </c>
      <c r="F19" s="8">
        <v>799</v>
      </c>
      <c r="G19" s="8">
        <v>799</v>
      </c>
      <c r="H19" s="8">
        <v>799</v>
      </c>
      <c r="I19" s="8">
        <v>799</v>
      </c>
      <c r="J19" s="8">
        <v>799</v>
      </c>
      <c r="K19" s="8">
        <v>799</v>
      </c>
      <c r="L19" s="8">
        <v>799</v>
      </c>
      <c r="M19" s="8">
        <v>799</v>
      </c>
      <c r="N19" s="8">
        <v>799</v>
      </c>
      <c r="O19" s="8">
        <v>799</v>
      </c>
      <c r="P19" s="8">
        <v>799</v>
      </c>
      <c r="Q19" s="8">
        <v>1416</v>
      </c>
      <c r="R19" s="8">
        <v>1416</v>
      </c>
      <c r="S19" s="8">
        <v>1416</v>
      </c>
      <c r="T19" s="8">
        <v>1332</v>
      </c>
      <c r="U19" s="8">
        <v>1332</v>
      </c>
      <c r="V19" s="8">
        <v>1332</v>
      </c>
      <c r="W19" s="8">
        <v>1332</v>
      </c>
      <c r="X19" s="8">
        <v>1260</v>
      </c>
      <c r="Y19" s="8">
        <v>1260</v>
      </c>
      <c r="Z19" s="8">
        <v>1260</v>
      </c>
      <c r="AA19" s="8">
        <v>1260</v>
      </c>
      <c r="AB19" s="8">
        <v>1260</v>
      </c>
      <c r="AC19" s="8">
        <v>1260</v>
      </c>
      <c r="AD19" s="8">
        <v>1260</v>
      </c>
      <c r="AE19" s="8">
        <v>1260</v>
      </c>
      <c r="AF19" s="9"/>
    </row>
    <row r="20" spans="1:32">
      <c r="A20" s="31" t="s">
        <v>308</v>
      </c>
      <c r="B20" s="8">
        <v>499</v>
      </c>
      <c r="C20" s="8">
        <v>499</v>
      </c>
      <c r="D20" s="8">
        <v>499</v>
      </c>
      <c r="E20" s="8">
        <v>499</v>
      </c>
      <c r="F20" s="8">
        <v>499</v>
      </c>
      <c r="G20" s="8">
        <v>499</v>
      </c>
      <c r="H20" s="8">
        <v>499</v>
      </c>
      <c r="I20" s="8">
        <v>499</v>
      </c>
      <c r="J20" s="8">
        <v>499</v>
      </c>
      <c r="K20" s="8">
        <v>499</v>
      </c>
      <c r="L20" s="8">
        <v>499</v>
      </c>
      <c r="M20" s="8">
        <v>499</v>
      </c>
      <c r="N20" s="8">
        <v>499</v>
      </c>
      <c r="O20" s="8">
        <v>499</v>
      </c>
      <c r="P20" s="8">
        <v>499</v>
      </c>
      <c r="Q20" s="8">
        <v>1620</v>
      </c>
      <c r="R20" s="8">
        <v>1620</v>
      </c>
      <c r="S20" s="8">
        <v>1620</v>
      </c>
      <c r="T20" s="8">
        <v>1524</v>
      </c>
      <c r="U20" s="8">
        <v>1524</v>
      </c>
      <c r="V20" s="8">
        <v>1524</v>
      </c>
      <c r="W20" s="8">
        <v>1524</v>
      </c>
      <c r="X20" s="8">
        <v>1440</v>
      </c>
      <c r="Y20" s="8">
        <v>1440</v>
      </c>
      <c r="Z20" s="8">
        <v>1440</v>
      </c>
      <c r="AA20" s="8">
        <v>1440</v>
      </c>
      <c r="AB20" s="8">
        <v>1440</v>
      </c>
      <c r="AC20" s="8">
        <v>1440</v>
      </c>
      <c r="AD20" s="8">
        <v>1440</v>
      </c>
      <c r="AE20" s="8">
        <v>1440</v>
      </c>
      <c r="AF20" s="9"/>
    </row>
    <row r="21" spans="1:32">
      <c r="A21" s="31" t="s">
        <v>309</v>
      </c>
      <c r="B21" s="8">
        <v>509</v>
      </c>
      <c r="C21" s="8">
        <v>509</v>
      </c>
      <c r="D21" s="8">
        <v>509</v>
      </c>
      <c r="E21" s="8">
        <v>509</v>
      </c>
      <c r="F21" s="8">
        <v>509</v>
      </c>
      <c r="G21" s="8">
        <v>509</v>
      </c>
      <c r="H21" s="8">
        <v>509</v>
      </c>
      <c r="I21" s="8">
        <v>509</v>
      </c>
      <c r="J21" s="8">
        <v>509</v>
      </c>
      <c r="K21" s="8">
        <v>509</v>
      </c>
      <c r="L21" s="8">
        <v>509</v>
      </c>
      <c r="M21" s="8">
        <v>509</v>
      </c>
      <c r="N21" s="8">
        <v>509</v>
      </c>
      <c r="O21" s="8">
        <v>509</v>
      </c>
      <c r="P21" s="8">
        <v>509</v>
      </c>
      <c r="Q21" s="8">
        <v>1620</v>
      </c>
      <c r="R21" s="8">
        <v>1620</v>
      </c>
      <c r="S21" s="8">
        <v>1620</v>
      </c>
      <c r="T21" s="8">
        <v>1524</v>
      </c>
      <c r="U21" s="8">
        <v>1524</v>
      </c>
      <c r="V21" s="8">
        <v>1524</v>
      </c>
      <c r="W21" s="8">
        <v>1524</v>
      </c>
      <c r="X21" s="8">
        <v>1440</v>
      </c>
      <c r="Y21" s="8">
        <v>1440</v>
      </c>
      <c r="Z21" s="8">
        <v>1440</v>
      </c>
      <c r="AA21" s="8">
        <v>1440</v>
      </c>
      <c r="AB21" s="8">
        <v>1440</v>
      </c>
      <c r="AC21" s="8">
        <v>1440</v>
      </c>
      <c r="AD21" s="8">
        <v>1440</v>
      </c>
      <c r="AE21" s="8">
        <v>1440</v>
      </c>
      <c r="AF21" s="8"/>
    </row>
    <row r="22" spans="1:32">
      <c r="A22" s="31" t="s">
        <v>310</v>
      </c>
      <c r="B22" s="8">
        <v>2699</v>
      </c>
      <c r="C22" s="8">
        <v>2699</v>
      </c>
      <c r="D22" s="8">
        <v>2699</v>
      </c>
      <c r="E22" s="8">
        <v>2699</v>
      </c>
      <c r="F22" s="8">
        <v>2699</v>
      </c>
      <c r="G22" s="8">
        <v>2699</v>
      </c>
      <c r="H22" s="8">
        <v>2699</v>
      </c>
      <c r="I22" s="8">
        <v>2699</v>
      </c>
      <c r="J22" s="8">
        <v>2699</v>
      </c>
      <c r="K22" s="8">
        <v>2699</v>
      </c>
      <c r="L22" s="8">
        <v>2699</v>
      </c>
      <c r="M22" s="8">
        <v>2699</v>
      </c>
      <c r="N22" s="8">
        <v>2699</v>
      </c>
      <c r="O22" s="8">
        <v>2699</v>
      </c>
      <c r="P22" s="8">
        <v>2699</v>
      </c>
      <c r="Q22" s="8">
        <v>10596</v>
      </c>
      <c r="R22" s="8">
        <v>10596</v>
      </c>
      <c r="S22" s="8">
        <v>10596</v>
      </c>
      <c r="T22" s="8">
        <v>9996</v>
      </c>
      <c r="U22" s="8">
        <v>9996</v>
      </c>
      <c r="V22" s="8">
        <v>9996</v>
      </c>
      <c r="W22" s="8">
        <v>9996</v>
      </c>
      <c r="X22" s="8">
        <v>9432</v>
      </c>
      <c r="Y22" s="8">
        <v>9432</v>
      </c>
      <c r="Z22" s="8">
        <v>9432</v>
      </c>
      <c r="AA22" s="8">
        <v>9432</v>
      </c>
      <c r="AB22" s="8">
        <v>9432</v>
      </c>
      <c r="AC22" s="8">
        <v>9432</v>
      </c>
      <c r="AD22" s="8">
        <v>9432</v>
      </c>
      <c r="AE22" s="8">
        <v>9432</v>
      </c>
      <c r="AF22" s="8"/>
    </row>
    <row r="23" spans="1:32">
      <c r="A23" s="31" t="s">
        <v>311</v>
      </c>
      <c r="B23" s="8">
        <v>419</v>
      </c>
      <c r="C23" s="8">
        <v>419</v>
      </c>
      <c r="D23" s="8">
        <v>419</v>
      </c>
      <c r="E23" s="8">
        <v>409</v>
      </c>
      <c r="F23" s="8">
        <v>409</v>
      </c>
      <c r="G23" s="8">
        <v>409</v>
      </c>
      <c r="H23" s="8">
        <v>409</v>
      </c>
      <c r="I23" s="8">
        <v>389</v>
      </c>
      <c r="J23" s="8">
        <v>389</v>
      </c>
      <c r="K23" s="8">
        <v>389</v>
      </c>
      <c r="L23" s="8">
        <v>389</v>
      </c>
      <c r="M23" s="8">
        <v>389</v>
      </c>
      <c r="N23" s="8">
        <v>389</v>
      </c>
      <c r="O23" s="8">
        <v>389</v>
      </c>
      <c r="P23" s="8">
        <v>389</v>
      </c>
      <c r="Q23" s="8">
        <v>672</v>
      </c>
      <c r="R23" s="8">
        <v>672</v>
      </c>
      <c r="S23" s="8">
        <v>672</v>
      </c>
      <c r="T23" s="8">
        <v>612</v>
      </c>
      <c r="U23" s="8">
        <v>612</v>
      </c>
      <c r="V23" s="8">
        <v>612</v>
      </c>
      <c r="W23" s="8">
        <v>612</v>
      </c>
      <c r="X23" s="8">
        <v>588</v>
      </c>
      <c r="Y23" s="8">
        <v>588</v>
      </c>
      <c r="Z23" s="8">
        <v>588</v>
      </c>
      <c r="AA23" s="8">
        <v>588</v>
      </c>
      <c r="AB23" s="8">
        <v>588</v>
      </c>
      <c r="AC23" s="8">
        <v>588</v>
      </c>
      <c r="AD23" s="8">
        <v>588</v>
      </c>
      <c r="AE23" s="8">
        <v>588</v>
      </c>
      <c r="AF23" s="8"/>
    </row>
    <row r="24" spans="1:32">
      <c r="A24" s="31" t="s">
        <v>312</v>
      </c>
      <c r="B24" s="8">
        <v>249</v>
      </c>
      <c r="C24" s="8">
        <v>249</v>
      </c>
      <c r="D24" s="8">
        <v>249</v>
      </c>
      <c r="E24" s="8">
        <v>249</v>
      </c>
      <c r="F24" s="8">
        <v>249</v>
      </c>
      <c r="G24" s="8">
        <v>249</v>
      </c>
      <c r="H24" s="8">
        <v>249</v>
      </c>
      <c r="I24" s="8">
        <v>249</v>
      </c>
      <c r="J24" s="8">
        <v>249</v>
      </c>
      <c r="K24" s="8">
        <v>249</v>
      </c>
      <c r="L24" s="8">
        <v>249</v>
      </c>
      <c r="M24" s="8">
        <v>249</v>
      </c>
      <c r="N24" s="8">
        <v>249</v>
      </c>
      <c r="O24" s="8">
        <v>249</v>
      </c>
      <c r="P24" s="8">
        <v>249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8"/>
    </row>
    <row r="25" spans="1:32">
      <c r="A25" s="31" t="s">
        <v>313</v>
      </c>
      <c r="B25" s="8">
        <v>499</v>
      </c>
      <c r="C25" s="8">
        <v>499</v>
      </c>
      <c r="D25" s="8">
        <v>499</v>
      </c>
      <c r="E25" s="8">
        <v>499</v>
      </c>
      <c r="F25" s="8">
        <v>499</v>
      </c>
      <c r="G25" s="8">
        <v>499</v>
      </c>
      <c r="H25" s="8">
        <v>499</v>
      </c>
      <c r="I25" s="8">
        <v>499</v>
      </c>
      <c r="J25" s="8">
        <v>499</v>
      </c>
      <c r="K25" s="8">
        <v>499</v>
      </c>
      <c r="L25" s="8">
        <v>499</v>
      </c>
      <c r="M25" s="8">
        <v>499</v>
      </c>
      <c r="N25" s="8">
        <v>499</v>
      </c>
      <c r="O25" s="8">
        <v>499</v>
      </c>
      <c r="P25" s="8">
        <v>499</v>
      </c>
      <c r="Q25" s="8">
        <v>1200</v>
      </c>
      <c r="R25" s="8">
        <v>1200</v>
      </c>
      <c r="S25" s="8">
        <v>1200</v>
      </c>
      <c r="T25" s="8">
        <v>1128</v>
      </c>
      <c r="U25" s="8">
        <v>1128</v>
      </c>
      <c r="V25" s="8">
        <v>1128</v>
      </c>
      <c r="W25" s="8">
        <v>1128</v>
      </c>
      <c r="X25" s="8">
        <v>1068</v>
      </c>
      <c r="Y25" s="8">
        <v>1068</v>
      </c>
      <c r="Z25" s="8">
        <v>1068</v>
      </c>
      <c r="AA25" s="8">
        <v>1068</v>
      </c>
      <c r="AB25" s="8">
        <v>1068</v>
      </c>
      <c r="AC25" s="8">
        <v>1068</v>
      </c>
      <c r="AD25" s="8">
        <v>1068</v>
      </c>
      <c r="AE25" s="8">
        <v>1068</v>
      </c>
      <c r="AF25" s="8"/>
    </row>
    <row r="26" spans="1:32">
      <c r="A26" s="31" t="s">
        <v>314</v>
      </c>
      <c r="B26" s="8">
        <v>139</v>
      </c>
      <c r="C26" s="8">
        <v>139</v>
      </c>
      <c r="D26" s="8">
        <v>139</v>
      </c>
      <c r="E26" s="8">
        <v>139</v>
      </c>
      <c r="F26" s="8">
        <v>139</v>
      </c>
      <c r="G26" s="8">
        <v>139</v>
      </c>
      <c r="H26" s="8">
        <v>139</v>
      </c>
      <c r="I26" s="8">
        <v>139</v>
      </c>
      <c r="J26" s="8">
        <v>139</v>
      </c>
      <c r="K26" s="8">
        <v>139</v>
      </c>
      <c r="L26" s="8">
        <v>139</v>
      </c>
      <c r="M26" s="8">
        <v>139</v>
      </c>
      <c r="N26" s="8">
        <v>139</v>
      </c>
      <c r="O26" s="8">
        <v>139</v>
      </c>
      <c r="P26" s="8">
        <v>139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8"/>
    </row>
    <row r="27" spans="1:32">
      <c r="A27" s="31" t="s">
        <v>315</v>
      </c>
      <c r="B27" s="8">
        <v>299</v>
      </c>
      <c r="C27" s="8">
        <v>299</v>
      </c>
      <c r="D27" s="8">
        <v>299</v>
      </c>
      <c r="E27" s="8">
        <v>299</v>
      </c>
      <c r="F27" s="8">
        <v>299</v>
      </c>
      <c r="G27" s="8">
        <v>299</v>
      </c>
      <c r="H27" s="8">
        <v>299</v>
      </c>
      <c r="I27" s="8">
        <v>299</v>
      </c>
      <c r="J27" s="8">
        <v>299</v>
      </c>
      <c r="K27" s="8">
        <v>299</v>
      </c>
      <c r="L27" s="8">
        <v>299</v>
      </c>
      <c r="M27" s="8">
        <v>299</v>
      </c>
      <c r="N27" s="8">
        <v>299</v>
      </c>
      <c r="O27" s="8">
        <v>299</v>
      </c>
      <c r="P27" s="8">
        <v>299</v>
      </c>
      <c r="Q27" s="8">
        <v>468</v>
      </c>
      <c r="R27" s="8">
        <v>468</v>
      </c>
      <c r="S27" s="8">
        <v>468</v>
      </c>
      <c r="T27" s="8">
        <v>444</v>
      </c>
      <c r="U27" s="8">
        <v>444</v>
      </c>
      <c r="V27" s="8">
        <v>444</v>
      </c>
      <c r="W27" s="8">
        <v>444</v>
      </c>
      <c r="X27" s="8">
        <v>420</v>
      </c>
      <c r="Y27" s="8">
        <v>420</v>
      </c>
      <c r="Z27" s="8">
        <v>420</v>
      </c>
      <c r="AA27" s="8">
        <v>420</v>
      </c>
      <c r="AB27" s="8">
        <v>420</v>
      </c>
      <c r="AC27" s="8">
        <v>420</v>
      </c>
      <c r="AD27" s="8">
        <v>420</v>
      </c>
      <c r="AE27" s="8">
        <v>420</v>
      </c>
      <c r="AF27" s="8"/>
    </row>
    <row r="28" spans="1:32">
      <c r="A28" s="31" t="s">
        <v>316</v>
      </c>
      <c r="B28" s="8">
        <v>149</v>
      </c>
      <c r="C28" s="8">
        <v>149</v>
      </c>
      <c r="D28" s="8">
        <v>149</v>
      </c>
      <c r="E28" s="8">
        <v>149</v>
      </c>
      <c r="F28" s="8">
        <v>149</v>
      </c>
      <c r="G28" s="8">
        <v>149</v>
      </c>
      <c r="H28" s="8">
        <v>149</v>
      </c>
      <c r="I28" s="8">
        <v>149</v>
      </c>
      <c r="J28" s="8">
        <v>149</v>
      </c>
      <c r="K28" s="8">
        <v>149</v>
      </c>
      <c r="L28" s="8">
        <v>149</v>
      </c>
      <c r="M28" s="8">
        <v>149</v>
      </c>
      <c r="N28" s="8">
        <v>149</v>
      </c>
      <c r="O28" s="8">
        <v>149</v>
      </c>
      <c r="P28" s="8">
        <v>149</v>
      </c>
      <c r="Q28" s="8">
        <v>768</v>
      </c>
      <c r="R28" s="8">
        <v>768</v>
      </c>
      <c r="S28" s="8">
        <v>768</v>
      </c>
      <c r="T28" s="8">
        <v>720</v>
      </c>
      <c r="U28" s="8">
        <v>720</v>
      </c>
      <c r="V28" s="8">
        <v>720</v>
      </c>
      <c r="W28" s="8">
        <v>720</v>
      </c>
      <c r="X28" s="8">
        <v>684</v>
      </c>
      <c r="Y28" s="8">
        <v>684</v>
      </c>
      <c r="Z28" s="8">
        <v>684</v>
      </c>
      <c r="AA28" s="8">
        <v>684</v>
      </c>
      <c r="AB28" s="8">
        <v>684</v>
      </c>
      <c r="AC28" s="8">
        <v>684</v>
      </c>
      <c r="AD28" s="8">
        <v>684</v>
      </c>
      <c r="AE28" s="8">
        <v>684</v>
      </c>
      <c r="AF28" s="8"/>
    </row>
    <row r="29" spans="1:32">
      <c r="A29" s="31" t="s">
        <v>317</v>
      </c>
      <c r="B29" s="8">
        <v>499</v>
      </c>
      <c r="C29" s="8">
        <v>499</v>
      </c>
      <c r="D29" s="8">
        <v>499</v>
      </c>
      <c r="E29" s="8">
        <v>499</v>
      </c>
      <c r="F29" s="8">
        <v>499</v>
      </c>
      <c r="G29" s="8">
        <v>499</v>
      </c>
      <c r="H29" s="8">
        <v>499</v>
      </c>
      <c r="I29" s="8">
        <v>499</v>
      </c>
      <c r="J29" s="8">
        <v>499</v>
      </c>
      <c r="K29" s="8">
        <v>499</v>
      </c>
      <c r="L29" s="8">
        <v>499</v>
      </c>
      <c r="M29" s="8">
        <v>499</v>
      </c>
      <c r="N29" s="8">
        <v>499</v>
      </c>
      <c r="O29" s="8">
        <v>499</v>
      </c>
      <c r="P29" s="8">
        <v>499</v>
      </c>
      <c r="Q29" s="8">
        <v>1656</v>
      </c>
      <c r="R29" s="8">
        <v>1656</v>
      </c>
      <c r="S29" s="8">
        <v>1656</v>
      </c>
      <c r="T29" s="8">
        <v>1560</v>
      </c>
      <c r="U29" s="8">
        <v>1560</v>
      </c>
      <c r="V29" s="8">
        <v>1560</v>
      </c>
      <c r="W29" s="8">
        <v>1560</v>
      </c>
      <c r="X29" s="8">
        <v>1476</v>
      </c>
      <c r="Y29" s="8">
        <v>1476</v>
      </c>
      <c r="Z29" s="8">
        <v>1476</v>
      </c>
      <c r="AA29" s="8">
        <v>1476</v>
      </c>
      <c r="AB29" s="8">
        <v>1476</v>
      </c>
      <c r="AC29" s="8">
        <v>1476</v>
      </c>
      <c r="AD29" s="8">
        <v>1476</v>
      </c>
      <c r="AE29" s="8">
        <v>1476</v>
      </c>
      <c r="AF29" s="8"/>
    </row>
    <row r="30" spans="1:32">
      <c r="A30" s="31" t="s">
        <v>318</v>
      </c>
      <c r="B30" s="8">
        <v>999</v>
      </c>
      <c r="C30" s="8">
        <v>999</v>
      </c>
      <c r="D30" s="8">
        <v>999</v>
      </c>
      <c r="E30" s="8">
        <v>999</v>
      </c>
      <c r="F30" s="8">
        <v>999</v>
      </c>
      <c r="G30" s="8">
        <v>999</v>
      </c>
      <c r="H30" s="8">
        <v>999</v>
      </c>
      <c r="I30" s="8">
        <v>999</v>
      </c>
      <c r="J30" s="8">
        <v>999</v>
      </c>
      <c r="K30" s="8">
        <v>999</v>
      </c>
      <c r="L30" s="8">
        <v>999</v>
      </c>
      <c r="M30" s="8">
        <v>999</v>
      </c>
      <c r="N30" s="8">
        <v>999</v>
      </c>
      <c r="O30" s="8">
        <v>999</v>
      </c>
      <c r="P30" s="8">
        <v>999</v>
      </c>
      <c r="Q30" s="8">
        <v>2016</v>
      </c>
      <c r="R30" s="8">
        <v>2016</v>
      </c>
      <c r="S30" s="8">
        <v>2016</v>
      </c>
      <c r="T30" s="8">
        <v>1836</v>
      </c>
      <c r="U30" s="8">
        <v>1836</v>
      </c>
      <c r="V30" s="8">
        <v>1836</v>
      </c>
      <c r="W30" s="8">
        <v>1836</v>
      </c>
      <c r="X30" s="8">
        <v>1668</v>
      </c>
      <c r="Y30" s="8">
        <v>1668</v>
      </c>
      <c r="Z30" s="8">
        <v>1668</v>
      </c>
      <c r="AA30" s="8">
        <v>1668</v>
      </c>
      <c r="AB30" s="8">
        <v>1668</v>
      </c>
      <c r="AC30" s="8">
        <v>1668</v>
      </c>
      <c r="AD30" s="8">
        <v>1668</v>
      </c>
      <c r="AE30" s="8">
        <v>1668</v>
      </c>
      <c r="AF30" s="8"/>
    </row>
    <row r="31" spans="1:32">
      <c r="A31" s="31" t="s">
        <v>319</v>
      </c>
      <c r="B31" s="8">
        <v>309</v>
      </c>
      <c r="C31" s="8">
        <v>309</v>
      </c>
      <c r="D31" s="8">
        <v>309</v>
      </c>
      <c r="E31" s="8">
        <v>299</v>
      </c>
      <c r="F31" s="8">
        <v>299</v>
      </c>
      <c r="G31" s="8">
        <v>299</v>
      </c>
      <c r="H31" s="8">
        <v>299</v>
      </c>
      <c r="I31" s="8">
        <v>299</v>
      </c>
      <c r="J31" s="8">
        <v>299</v>
      </c>
      <c r="K31" s="8">
        <v>299</v>
      </c>
      <c r="L31" s="8">
        <v>299</v>
      </c>
      <c r="M31" s="8">
        <v>299</v>
      </c>
      <c r="N31" s="8">
        <v>299</v>
      </c>
      <c r="O31" s="8">
        <v>299</v>
      </c>
      <c r="P31" s="8">
        <v>299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8"/>
    </row>
    <row r="32" spans="1:32">
      <c r="A32" s="31" t="s">
        <v>320</v>
      </c>
      <c r="B32" s="8">
        <v>529</v>
      </c>
      <c r="C32" s="8">
        <v>529</v>
      </c>
      <c r="D32" s="8">
        <v>529</v>
      </c>
      <c r="E32" s="8">
        <v>519</v>
      </c>
      <c r="F32" s="8">
        <v>519</v>
      </c>
      <c r="G32" s="8">
        <v>519</v>
      </c>
      <c r="H32" s="8">
        <v>519</v>
      </c>
      <c r="I32" s="8">
        <v>499</v>
      </c>
      <c r="J32" s="8">
        <v>499</v>
      </c>
      <c r="K32" s="8">
        <v>499</v>
      </c>
      <c r="L32" s="8">
        <v>499</v>
      </c>
      <c r="M32" s="8">
        <v>499</v>
      </c>
      <c r="N32" s="8">
        <v>499</v>
      </c>
      <c r="O32" s="8">
        <v>499</v>
      </c>
      <c r="P32" s="8">
        <v>499</v>
      </c>
      <c r="Q32" s="8">
        <v>1056</v>
      </c>
      <c r="R32" s="8">
        <v>1056</v>
      </c>
      <c r="S32" s="8">
        <v>1056</v>
      </c>
      <c r="T32" s="8">
        <v>960</v>
      </c>
      <c r="U32" s="8">
        <v>960</v>
      </c>
      <c r="V32" s="8">
        <v>960</v>
      </c>
      <c r="W32" s="8">
        <v>960</v>
      </c>
      <c r="X32" s="8">
        <v>876</v>
      </c>
      <c r="Y32" s="8">
        <v>876</v>
      </c>
      <c r="Z32" s="8">
        <v>876</v>
      </c>
      <c r="AA32" s="8">
        <v>876</v>
      </c>
      <c r="AB32" s="8">
        <v>876</v>
      </c>
      <c r="AC32" s="8">
        <v>876</v>
      </c>
      <c r="AD32" s="8">
        <v>876</v>
      </c>
      <c r="AE32" s="8">
        <v>756</v>
      </c>
      <c r="AF32" s="8"/>
    </row>
    <row r="33" spans="1:32">
      <c r="A33" s="31" t="s">
        <v>321</v>
      </c>
      <c r="B33" s="8">
        <v>789</v>
      </c>
      <c r="C33" s="8">
        <v>789</v>
      </c>
      <c r="D33" s="8">
        <v>789</v>
      </c>
      <c r="E33" s="8">
        <v>769</v>
      </c>
      <c r="F33" s="8">
        <v>769</v>
      </c>
      <c r="G33" s="8">
        <v>769</v>
      </c>
      <c r="H33" s="8">
        <v>769</v>
      </c>
      <c r="I33" s="8">
        <v>739</v>
      </c>
      <c r="J33" s="8">
        <v>739</v>
      </c>
      <c r="K33" s="8">
        <v>739</v>
      </c>
      <c r="L33" s="8">
        <v>739</v>
      </c>
      <c r="M33" s="8">
        <v>739</v>
      </c>
      <c r="N33" s="8">
        <v>739</v>
      </c>
      <c r="O33" s="8">
        <v>739</v>
      </c>
      <c r="P33" s="8">
        <v>739</v>
      </c>
      <c r="Q33" s="8">
        <v>2220</v>
      </c>
      <c r="R33" s="8">
        <v>2220</v>
      </c>
      <c r="S33" s="8">
        <v>2220</v>
      </c>
      <c r="T33" s="8">
        <v>2016</v>
      </c>
      <c r="U33" s="8">
        <v>2016</v>
      </c>
      <c r="V33" s="8">
        <v>2016</v>
      </c>
      <c r="W33" s="8">
        <v>2016</v>
      </c>
      <c r="X33" s="8">
        <v>1836</v>
      </c>
      <c r="Y33" s="8">
        <v>1836</v>
      </c>
      <c r="Z33" s="8">
        <v>1836</v>
      </c>
      <c r="AA33" s="8">
        <v>1836</v>
      </c>
      <c r="AB33" s="8">
        <v>1836</v>
      </c>
      <c r="AC33" s="8">
        <v>1836</v>
      </c>
      <c r="AD33" s="8">
        <v>1836</v>
      </c>
      <c r="AE33" s="8">
        <v>1836</v>
      </c>
      <c r="AF33" s="8"/>
    </row>
    <row r="34" spans="1:32">
      <c r="A34" s="31" t="s">
        <v>322</v>
      </c>
      <c r="B34" s="8">
        <v>319</v>
      </c>
      <c r="C34" s="8">
        <v>319</v>
      </c>
      <c r="D34" s="8">
        <v>319</v>
      </c>
      <c r="E34" s="8">
        <v>309</v>
      </c>
      <c r="F34" s="8">
        <v>309</v>
      </c>
      <c r="G34" s="8">
        <v>309</v>
      </c>
      <c r="H34" s="8">
        <v>309</v>
      </c>
      <c r="I34" s="8">
        <v>299</v>
      </c>
      <c r="J34" s="8">
        <v>299</v>
      </c>
      <c r="K34" s="8">
        <v>299</v>
      </c>
      <c r="L34" s="8">
        <v>299</v>
      </c>
      <c r="M34" s="8">
        <v>299</v>
      </c>
      <c r="N34" s="8">
        <v>299</v>
      </c>
      <c r="O34" s="8">
        <v>299</v>
      </c>
      <c r="P34" s="8">
        <v>299</v>
      </c>
      <c r="Q34" s="8">
        <v>744</v>
      </c>
      <c r="R34" s="8">
        <v>744</v>
      </c>
      <c r="S34" s="8">
        <v>744</v>
      </c>
      <c r="T34" s="8">
        <v>672</v>
      </c>
      <c r="U34" s="8">
        <v>672</v>
      </c>
      <c r="V34" s="8">
        <v>672</v>
      </c>
      <c r="W34" s="8">
        <v>672</v>
      </c>
      <c r="X34" s="8">
        <v>636</v>
      </c>
      <c r="Y34" s="8">
        <v>636</v>
      </c>
      <c r="Z34" s="8">
        <v>636</v>
      </c>
      <c r="AA34" s="8">
        <v>636</v>
      </c>
      <c r="AB34" s="8">
        <v>636</v>
      </c>
      <c r="AC34" s="8">
        <v>636</v>
      </c>
      <c r="AD34" s="8">
        <v>636</v>
      </c>
      <c r="AE34" s="8">
        <v>636</v>
      </c>
      <c r="AF34" s="8"/>
    </row>
    <row r="35" spans="1:32">
      <c r="A35" s="31" t="s">
        <v>323</v>
      </c>
      <c r="B35" s="8">
        <v>339</v>
      </c>
      <c r="C35" s="8">
        <v>339</v>
      </c>
      <c r="D35" s="8">
        <v>339</v>
      </c>
      <c r="E35" s="8">
        <v>339</v>
      </c>
      <c r="F35" s="8">
        <v>339</v>
      </c>
      <c r="G35" s="8">
        <v>339</v>
      </c>
      <c r="H35" s="8">
        <v>339</v>
      </c>
      <c r="I35" s="8">
        <v>339</v>
      </c>
      <c r="J35" s="8">
        <v>339</v>
      </c>
      <c r="K35" s="8">
        <v>339</v>
      </c>
      <c r="L35" s="8">
        <v>339</v>
      </c>
      <c r="M35" s="8">
        <v>339</v>
      </c>
      <c r="N35" s="8">
        <v>339</v>
      </c>
      <c r="O35" s="8">
        <v>339</v>
      </c>
      <c r="P35" s="8">
        <v>339</v>
      </c>
      <c r="Q35" s="8">
        <v>1104</v>
      </c>
      <c r="R35" s="8">
        <v>1104</v>
      </c>
      <c r="S35" s="8">
        <v>1104</v>
      </c>
      <c r="T35" s="8">
        <v>1008</v>
      </c>
      <c r="U35" s="8">
        <v>1008</v>
      </c>
      <c r="V35" s="8">
        <v>1008</v>
      </c>
      <c r="W35" s="8">
        <v>1008</v>
      </c>
      <c r="X35" s="8">
        <v>912</v>
      </c>
      <c r="Y35" s="8">
        <v>912</v>
      </c>
      <c r="Z35" s="8">
        <v>912</v>
      </c>
      <c r="AA35" s="8">
        <v>912</v>
      </c>
      <c r="AB35" s="8">
        <v>912</v>
      </c>
      <c r="AC35" s="8">
        <v>912</v>
      </c>
      <c r="AD35" s="8">
        <v>912</v>
      </c>
      <c r="AE35" s="8">
        <v>912</v>
      </c>
      <c r="AF35" s="8"/>
    </row>
    <row r="36" spans="1:32">
      <c r="A36" s="31" t="s">
        <v>324</v>
      </c>
      <c r="B36" s="8">
        <v>379</v>
      </c>
      <c r="C36" s="8">
        <v>379</v>
      </c>
      <c r="D36" s="8">
        <v>379</v>
      </c>
      <c r="E36" s="8">
        <v>369</v>
      </c>
      <c r="F36" s="8">
        <v>369</v>
      </c>
      <c r="G36" s="8">
        <v>369</v>
      </c>
      <c r="H36" s="8">
        <v>369</v>
      </c>
      <c r="I36" s="8">
        <v>349</v>
      </c>
      <c r="J36" s="8">
        <v>349</v>
      </c>
      <c r="K36" s="8">
        <v>349</v>
      </c>
      <c r="L36" s="8">
        <v>349</v>
      </c>
      <c r="M36" s="8">
        <v>349</v>
      </c>
      <c r="N36" s="8">
        <v>349</v>
      </c>
      <c r="O36" s="8">
        <v>349</v>
      </c>
      <c r="P36" s="8">
        <v>349</v>
      </c>
      <c r="Q36" s="8">
        <v>780</v>
      </c>
      <c r="R36" s="8">
        <v>780</v>
      </c>
      <c r="S36" s="8">
        <v>780</v>
      </c>
      <c r="T36" s="8">
        <v>708</v>
      </c>
      <c r="U36" s="8">
        <v>708</v>
      </c>
      <c r="V36" s="8">
        <v>708</v>
      </c>
      <c r="W36" s="8">
        <v>708</v>
      </c>
      <c r="X36" s="8">
        <v>648</v>
      </c>
      <c r="Y36" s="8">
        <v>648</v>
      </c>
      <c r="Z36" s="8">
        <v>648</v>
      </c>
      <c r="AA36" s="8">
        <v>648</v>
      </c>
      <c r="AB36" s="8">
        <v>648</v>
      </c>
      <c r="AC36" s="8">
        <v>648</v>
      </c>
      <c r="AD36" s="8">
        <v>648</v>
      </c>
      <c r="AE36" s="8">
        <v>564</v>
      </c>
      <c r="AF36" s="9"/>
    </row>
    <row r="37" spans="1:32">
      <c r="A37" s="31" t="s">
        <v>325</v>
      </c>
      <c r="B37" s="8">
        <v>849</v>
      </c>
      <c r="C37" s="8">
        <v>849</v>
      </c>
      <c r="D37" s="8">
        <v>849</v>
      </c>
      <c r="E37" s="8">
        <v>839</v>
      </c>
      <c r="F37" s="8">
        <v>839</v>
      </c>
      <c r="G37" s="8">
        <v>829</v>
      </c>
      <c r="H37" s="8">
        <v>829</v>
      </c>
      <c r="I37" s="8">
        <v>789</v>
      </c>
      <c r="J37" s="8">
        <v>789</v>
      </c>
      <c r="K37" s="8">
        <v>789</v>
      </c>
      <c r="L37" s="8">
        <v>789</v>
      </c>
      <c r="M37" s="8">
        <v>789</v>
      </c>
      <c r="N37" s="8">
        <v>789</v>
      </c>
      <c r="O37" s="8">
        <v>789</v>
      </c>
      <c r="P37" s="8">
        <v>729</v>
      </c>
      <c r="Q37" s="8">
        <v>1788</v>
      </c>
      <c r="R37" s="8">
        <v>1788</v>
      </c>
      <c r="S37" s="8">
        <v>1788</v>
      </c>
      <c r="T37" s="8">
        <v>1620</v>
      </c>
      <c r="U37" s="8">
        <v>1620</v>
      </c>
      <c r="V37" s="8">
        <v>1620</v>
      </c>
      <c r="W37" s="8">
        <v>1620</v>
      </c>
      <c r="X37" s="8">
        <v>1476</v>
      </c>
      <c r="Y37" s="8">
        <v>1476</v>
      </c>
      <c r="Z37" s="8">
        <v>1476</v>
      </c>
      <c r="AA37" s="8">
        <v>1476</v>
      </c>
      <c r="AB37" s="8">
        <v>1476</v>
      </c>
      <c r="AC37" s="8">
        <v>1476</v>
      </c>
      <c r="AD37" s="8">
        <v>1476</v>
      </c>
      <c r="AE37" s="8">
        <v>1260</v>
      </c>
      <c r="AF37" s="8"/>
    </row>
    <row r="38" spans="1:32">
      <c r="A38" s="31" t="s">
        <v>326</v>
      </c>
      <c r="B38" s="8">
        <v>519</v>
      </c>
      <c r="C38" s="8">
        <v>519</v>
      </c>
      <c r="D38" s="8">
        <v>519</v>
      </c>
      <c r="E38" s="8">
        <v>519</v>
      </c>
      <c r="F38" s="8">
        <v>519</v>
      </c>
      <c r="G38" s="8">
        <v>519</v>
      </c>
      <c r="H38" s="8">
        <v>519</v>
      </c>
      <c r="I38" s="8">
        <v>519</v>
      </c>
      <c r="J38" s="8">
        <v>519</v>
      </c>
      <c r="K38" s="8">
        <v>519</v>
      </c>
      <c r="L38" s="8">
        <v>519</v>
      </c>
      <c r="M38" s="8">
        <v>519</v>
      </c>
      <c r="N38" s="8">
        <v>519</v>
      </c>
      <c r="O38" s="8">
        <v>519</v>
      </c>
      <c r="P38" s="8">
        <v>519</v>
      </c>
      <c r="Q38" s="8">
        <v>1704</v>
      </c>
      <c r="R38" s="8">
        <v>1704</v>
      </c>
      <c r="S38" s="8">
        <v>1704</v>
      </c>
      <c r="T38" s="8">
        <v>1548</v>
      </c>
      <c r="U38" s="8">
        <v>1548</v>
      </c>
      <c r="V38" s="8">
        <v>1548</v>
      </c>
      <c r="W38" s="8">
        <v>1548</v>
      </c>
      <c r="X38" s="8">
        <v>1404</v>
      </c>
      <c r="Y38" s="8">
        <v>1404</v>
      </c>
      <c r="Z38" s="8">
        <v>1404</v>
      </c>
      <c r="AA38" s="8">
        <v>1404</v>
      </c>
      <c r="AB38" s="8">
        <v>1404</v>
      </c>
      <c r="AC38" s="8">
        <v>1404</v>
      </c>
      <c r="AD38" s="8">
        <v>1404</v>
      </c>
      <c r="AE38" s="8">
        <v>1212</v>
      </c>
      <c r="AF38" s="9"/>
    </row>
    <row r="39" spans="1:32">
      <c r="A39" s="31" t="s">
        <v>327</v>
      </c>
      <c r="B39" s="8">
        <v>789</v>
      </c>
      <c r="C39" s="8">
        <v>789</v>
      </c>
      <c r="D39" s="8">
        <v>789</v>
      </c>
      <c r="E39" s="8">
        <v>789</v>
      </c>
      <c r="F39" s="8">
        <v>789</v>
      </c>
      <c r="G39" s="8">
        <v>789</v>
      </c>
      <c r="H39" s="8">
        <v>789</v>
      </c>
      <c r="I39" s="8">
        <v>789</v>
      </c>
      <c r="J39" s="8">
        <v>789</v>
      </c>
      <c r="K39" s="8">
        <v>789</v>
      </c>
      <c r="L39" s="8">
        <v>789</v>
      </c>
      <c r="M39" s="8">
        <v>789</v>
      </c>
      <c r="N39" s="8">
        <v>789</v>
      </c>
      <c r="O39" s="8">
        <v>789</v>
      </c>
      <c r="P39" s="8">
        <v>789</v>
      </c>
      <c r="Q39" s="8">
        <v>2916</v>
      </c>
      <c r="R39" s="8">
        <v>2916</v>
      </c>
      <c r="S39" s="8">
        <v>2916</v>
      </c>
      <c r="T39" s="8">
        <v>2748</v>
      </c>
      <c r="U39" s="8">
        <v>2748</v>
      </c>
      <c r="V39" s="8">
        <v>2748</v>
      </c>
      <c r="W39" s="8">
        <v>2748</v>
      </c>
      <c r="X39" s="8">
        <v>2592</v>
      </c>
      <c r="Y39" s="8">
        <v>2592</v>
      </c>
      <c r="Z39" s="8">
        <v>2592</v>
      </c>
      <c r="AA39" s="8">
        <v>2592</v>
      </c>
      <c r="AB39" s="8">
        <v>2592</v>
      </c>
      <c r="AC39" s="8">
        <v>2592</v>
      </c>
      <c r="AD39" s="8">
        <v>2592</v>
      </c>
      <c r="AE39" s="8">
        <v>2592</v>
      </c>
      <c r="AF39" s="8"/>
    </row>
    <row r="40" spans="1:32">
      <c r="A40" s="31" t="s">
        <v>328</v>
      </c>
      <c r="B40" s="8">
        <v>3199</v>
      </c>
      <c r="C40" s="8">
        <v>3199</v>
      </c>
      <c r="D40" s="8">
        <v>3199</v>
      </c>
      <c r="E40" s="8">
        <v>2649</v>
      </c>
      <c r="F40" s="8">
        <v>2649</v>
      </c>
      <c r="G40" s="8">
        <v>2649</v>
      </c>
      <c r="H40" s="8">
        <v>2649</v>
      </c>
      <c r="I40" s="8">
        <v>2509</v>
      </c>
      <c r="J40" s="8">
        <v>2509</v>
      </c>
      <c r="K40" s="8">
        <v>2509</v>
      </c>
      <c r="L40" s="8">
        <v>2509</v>
      </c>
      <c r="M40" s="8">
        <v>2509</v>
      </c>
      <c r="N40" s="8">
        <v>2509</v>
      </c>
      <c r="O40" s="8">
        <v>2509</v>
      </c>
      <c r="P40" s="8">
        <v>2509</v>
      </c>
      <c r="Q40" s="8">
        <v>5160</v>
      </c>
      <c r="R40" s="8">
        <v>5160</v>
      </c>
      <c r="S40" s="8">
        <v>5160</v>
      </c>
      <c r="T40" s="8">
        <v>4692</v>
      </c>
      <c r="U40" s="8">
        <v>4692</v>
      </c>
      <c r="V40" s="8">
        <v>4692</v>
      </c>
      <c r="W40" s="8">
        <v>4692</v>
      </c>
      <c r="X40" s="8">
        <v>4260</v>
      </c>
      <c r="Y40" s="8">
        <v>4260</v>
      </c>
      <c r="Z40" s="8">
        <v>4260</v>
      </c>
      <c r="AA40" s="8">
        <v>4260</v>
      </c>
      <c r="AB40" s="8">
        <v>4260</v>
      </c>
      <c r="AC40" s="8">
        <v>4260</v>
      </c>
      <c r="AD40" s="8">
        <v>4260</v>
      </c>
      <c r="AE40" s="8">
        <v>4020</v>
      </c>
      <c r="AF40" s="8"/>
    </row>
    <row r="41" spans="1:32">
      <c r="A41" s="31" t="s">
        <v>329</v>
      </c>
      <c r="B41" s="8">
        <v>3339</v>
      </c>
      <c r="C41" s="8">
        <v>3339</v>
      </c>
      <c r="D41" s="8">
        <v>3339</v>
      </c>
      <c r="E41" s="8">
        <v>3339</v>
      </c>
      <c r="F41" s="8">
        <v>3339</v>
      </c>
      <c r="G41" s="8">
        <v>3339</v>
      </c>
      <c r="H41" s="8">
        <v>3339</v>
      </c>
      <c r="I41" s="8">
        <v>3339</v>
      </c>
      <c r="J41" s="8">
        <v>3339</v>
      </c>
      <c r="K41" s="8">
        <v>3339</v>
      </c>
      <c r="L41" s="8">
        <v>3339</v>
      </c>
      <c r="M41" s="8">
        <v>3339</v>
      </c>
      <c r="N41" s="8">
        <v>3339</v>
      </c>
      <c r="O41" s="8">
        <v>3339</v>
      </c>
      <c r="P41" s="8">
        <v>3339</v>
      </c>
      <c r="Q41" s="8">
        <v>6864</v>
      </c>
      <c r="R41" s="8">
        <v>6864</v>
      </c>
      <c r="S41" s="8">
        <v>6864</v>
      </c>
      <c r="T41" s="8">
        <v>6240</v>
      </c>
      <c r="U41" s="8">
        <v>6240</v>
      </c>
      <c r="V41" s="8">
        <v>6240</v>
      </c>
      <c r="W41" s="8">
        <v>6240</v>
      </c>
      <c r="X41" s="8">
        <v>5676</v>
      </c>
      <c r="Y41" s="8">
        <v>5676</v>
      </c>
      <c r="Z41" s="8">
        <v>5676</v>
      </c>
      <c r="AA41" s="8">
        <v>5676</v>
      </c>
      <c r="AB41" s="8">
        <v>5676</v>
      </c>
      <c r="AC41" s="8">
        <v>5676</v>
      </c>
      <c r="AD41" s="8">
        <v>5676</v>
      </c>
      <c r="AE41" s="8">
        <v>5340</v>
      </c>
      <c r="AF41" s="9"/>
    </row>
    <row r="42" spans="1:32">
      <c r="A42" s="31" t="s">
        <v>330</v>
      </c>
      <c r="B42" s="8">
        <v>409</v>
      </c>
      <c r="C42" s="8">
        <v>409</v>
      </c>
      <c r="D42" s="8">
        <v>409</v>
      </c>
      <c r="E42" s="8">
        <v>409</v>
      </c>
      <c r="F42" s="8">
        <v>409</v>
      </c>
      <c r="G42" s="8">
        <v>409</v>
      </c>
      <c r="H42" s="8">
        <v>409</v>
      </c>
      <c r="I42" s="8">
        <v>409</v>
      </c>
      <c r="J42" s="8">
        <v>409</v>
      </c>
      <c r="K42" s="8">
        <v>409</v>
      </c>
      <c r="L42" s="8">
        <v>409</v>
      </c>
      <c r="M42" s="8">
        <v>409</v>
      </c>
      <c r="N42" s="8">
        <v>409</v>
      </c>
      <c r="O42" s="8">
        <v>409</v>
      </c>
      <c r="P42" s="8">
        <v>409</v>
      </c>
      <c r="Q42" s="8">
        <v>1572</v>
      </c>
      <c r="R42" s="8">
        <v>1572</v>
      </c>
      <c r="S42" s="8">
        <v>1572</v>
      </c>
      <c r="T42" s="8">
        <v>1428</v>
      </c>
      <c r="U42" s="8">
        <v>1428</v>
      </c>
      <c r="V42" s="8">
        <v>1428</v>
      </c>
      <c r="W42" s="8">
        <v>1428</v>
      </c>
      <c r="X42" s="8">
        <v>1296</v>
      </c>
      <c r="Y42" s="8">
        <v>1296</v>
      </c>
      <c r="Z42" s="8">
        <v>1296</v>
      </c>
      <c r="AA42" s="8">
        <v>1296</v>
      </c>
      <c r="AB42" s="8">
        <v>1296</v>
      </c>
      <c r="AC42" s="8">
        <v>1296</v>
      </c>
      <c r="AD42" s="8">
        <v>1296</v>
      </c>
      <c r="AE42" s="8">
        <v>1068</v>
      </c>
      <c r="AF42" s="8"/>
    </row>
    <row r="43" spans="1:32">
      <c r="A43" s="31" t="s">
        <v>331</v>
      </c>
      <c r="B43" s="8">
        <v>1059</v>
      </c>
      <c r="C43" s="8">
        <v>1059</v>
      </c>
      <c r="D43" s="8">
        <v>1059</v>
      </c>
      <c r="E43" s="8">
        <v>1029</v>
      </c>
      <c r="F43" s="8">
        <v>1029</v>
      </c>
      <c r="G43" s="8">
        <v>1029</v>
      </c>
      <c r="H43" s="8">
        <v>1029</v>
      </c>
      <c r="I43" s="8">
        <v>999</v>
      </c>
      <c r="J43" s="8">
        <v>999</v>
      </c>
      <c r="K43" s="8">
        <v>999</v>
      </c>
      <c r="L43" s="8">
        <v>999</v>
      </c>
      <c r="M43" s="8">
        <v>999</v>
      </c>
      <c r="N43" s="8">
        <v>999</v>
      </c>
      <c r="O43" s="8">
        <v>999</v>
      </c>
      <c r="P43" s="8">
        <v>999</v>
      </c>
      <c r="Q43" s="8">
        <v>2016</v>
      </c>
      <c r="R43" s="8">
        <v>2016</v>
      </c>
      <c r="S43" s="8">
        <v>2016</v>
      </c>
      <c r="T43" s="8">
        <v>1836</v>
      </c>
      <c r="U43" s="8">
        <v>1836</v>
      </c>
      <c r="V43" s="8">
        <v>1836</v>
      </c>
      <c r="W43" s="8">
        <v>1836</v>
      </c>
      <c r="X43" s="8">
        <v>1668</v>
      </c>
      <c r="Y43" s="8">
        <v>1668</v>
      </c>
      <c r="Z43" s="8">
        <v>1668</v>
      </c>
      <c r="AA43" s="8">
        <v>1668</v>
      </c>
      <c r="AB43" s="8">
        <v>1668</v>
      </c>
      <c r="AC43" s="8">
        <v>1668</v>
      </c>
      <c r="AD43" s="8">
        <v>1668</v>
      </c>
      <c r="AE43" s="8">
        <v>1668</v>
      </c>
      <c r="AF43" s="8"/>
    </row>
    <row r="44" spans="1:32">
      <c r="A44" s="31" t="s">
        <v>332</v>
      </c>
      <c r="B44" s="8">
        <v>479</v>
      </c>
      <c r="C44" s="8">
        <v>479</v>
      </c>
      <c r="D44" s="8">
        <v>479</v>
      </c>
      <c r="E44" s="8">
        <v>479</v>
      </c>
      <c r="F44" s="8">
        <v>479</v>
      </c>
      <c r="G44" s="8">
        <v>469</v>
      </c>
      <c r="H44" s="8">
        <v>469</v>
      </c>
      <c r="I44" s="8">
        <v>449</v>
      </c>
      <c r="J44" s="8">
        <v>449</v>
      </c>
      <c r="K44" s="8">
        <v>449</v>
      </c>
      <c r="L44" s="8">
        <v>449</v>
      </c>
      <c r="M44" s="8">
        <v>449</v>
      </c>
      <c r="N44" s="8">
        <v>449</v>
      </c>
      <c r="O44" s="8">
        <v>449</v>
      </c>
      <c r="P44" s="8">
        <v>419</v>
      </c>
      <c r="Q44" s="8">
        <v>1020</v>
      </c>
      <c r="R44" s="8">
        <v>1020</v>
      </c>
      <c r="S44" s="8">
        <v>1020</v>
      </c>
      <c r="T44" s="8">
        <v>924</v>
      </c>
      <c r="U44" s="8">
        <v>924</v>
      </c>
      <c r="V44" s="8">
        <v>924</v>
      </c>
      <c r="W44" s="8">
        <v>924</v>
      </c>
      <c r="X44" s="8">
        <v>840</v>
      </c>
      <c r="Y44" s="8">
        <v>840</v>
      </c>
      <c r="Z44" s="8">
        <v>840</v>
      </c>
      <c r="AA44" s="8">
        <v>840</v>
      </c>
      <c r="AB44" s="8">
        <v>840</v>
      </c>
      <c r="AC44" s="8">
        <v>840</v>
      </c>
      <c r="AD44" s="8">
        <v>840</v>
      </c>
      <c r="AE44" s="8">
        <v>720</v>
      </c>
      <c r="AF44" s="8"/>
    </row>
    <row r="45" spans="1:32">
      <c r="A45" s="31" t="s">
        <v>333</v>
      </c>
      <c r="B45" s="8">
        <v>739</v>
      </c>
      <c r="C45" s="8">
        <v>739</v>
      </c>
      <c r="D45" s="8">
        <v>739</v>
      </c>
      <c r="E45" s="8">
        <v>719</v>
      </c>
      <c r="F45" s="8">
        <v>719</v>
      </c>
      <c r="G45" s="8">
        <v>719</v>
      </c>
      <c r="H45" s="8">
        <v>719</v>
      </c>
      <c r="I45" s="8">
        <v>699</v>
      </c>
      <c r="J45" s="8">
        <v>699</v>
      </c>
      <c r="K45" s="8">
        <v>699</v>
      </c>
      <c r="L45" s="8">
        <v>699</v>
      </c>
      <c r="M45" s="8">
        <v>699</v>
      </c>
      <c r="N45" s="8">
        <v>699</v>
      </c>
      <c r="O45" s="8">
        <v>699</v>
      </c>
      <c r="P45" s="8">
        <v>699</v>
      </c>
      <c r="Q45" s="8">
        <v>1560</v>
      </c>
      <c r="R45" s="8">
        <v>1560</v>
      </c>
      <c r="S45" s="8">
        <v>1560</v>
      </c>
      <c r="T45" s="8">
        <v>1416</v>
      </c>
      <c r="U45" s="8">
        <v>1416</v>
      </c>
      <c r="V45" s="8">
        <v>1416</v>
      </c>
      <c r="W45" s="8">
        <v>1416</v>
      </c>
      <c r="X45" s="8">
        <v>1284</v>
      </c>
      <c r="Y45" s="8">
        <v>1284</v>
      </c>
      <c r="Z45" s="8">
        <v>1284</v>
      </c>
      <c r="AA45" s="8">
        <v>1284</v>
      </c>
      <c r="AB45" s="8">
        <v>1284</v>
      </c>
      <c r="AC45" s="8">
        <v>1284</v>
      </c>
      <c r="AD45" s="8">
        <v>1284</v>
      </c>
      <c r="AE45" s="8">
        <v>1116</v>
      </c>
      <c r="AF45" s="8"/>
    </row>
    <row r="46" spans="1:32">
      <c r="A46" s="31" t="s">
        <v>334</v>
      </c>
      <c r="B46" s="8">
        <v>309</v>
      </c>
      <c r="C46" s="8">
        <v>309</v>
      </c>
      <c r="D46" s="8">
        <v>309</v>
      </c>
      <c r="E46" s="8">
        <v>309</v>
      </c>
      <c r="F46" s="8">
        <v>309</v>
      </c>
      <c r="G46" s="8">
        <v>309</v>
      </c>
      <c r="H46" s="8">
        <v>309</v>
      </c>
      <c r="I46" s="8">
        <v>309</v>
      </c>
      <c r="J46" s="8">
        <v>309</v>
      </c>
      <c r="K46" s="8">
        <v>309</v>
      </c>
      <c r="L46" s="8">
        <v>309</v>
      </c>
      <c r="M46" s="8">
        <v>309</v>
      </c>
      <c r="N46" s="8">
        <v>309</v>
      </c>
      <c r="O46" s="8">
        <v>309</v>
      </c>
      <c r="P46" s="8">
        <v>309</v>
      </c>
      <c r="Q46" s="8">
        <v>1128</v>
      </c>
      <c r="R46" s="8">
        <v>1128</v>
      </c>
      <c r="S46" s="8">
        <v>1128</v>
      </c>
      <c r="T46" s="8">
        <v>1020</v>
      </c>
      <c r="U46" s="8">
        <v>1020</v>
      </c>
      <c r="V46" s="8">
        <v>1020</v>
      </c>
      <c r="W46" s="8">
        <v>1020</v>
      </c>
      <c r="X46" s="8">
        <v>924</v>
      </c>
      <c r="Y46" s="8">
        <v>924</v>
      </c>
      <c r="Z46" s="8">
        <v>924</v>
      </c>
      <c r="AA46" s="8">
        <v>924</v>
      </c>
      <c r="AB46" s="8">
        <v>924</v>
      </c>
      <c r="AC46" s="8">
        <v>924</v>
      </c>
      <c r="AD46" s="8">
        <v>924</v>
      </c>
      <c r="AE46" s="8">
        <v>804</v>
      </c>
      <c r="AF46" s="8"/>
    </row>
    <row r="47" spans="1:32">
      <c r="A47" s="31" t="s">
        <v>335</v>
      </c>
      <c r="B47" s="8">
        <v>599</v>
      </c>
      <c r="C47" s="8">
        <v>599</v>
      </c>
      <c r="D47" s="8">
        <v>599</v>
      </c>
      <c r="E47" s="8">
        <v>599</v>
      </c>
      <c r="F47" s="8">
        <v>599</v>
      </c>
      <c r="G47" s="8">
        <v>599</v>
      </c>
      <c r="H47" s="8">
        <v>599</v>
      </c>
      <c r="I47" s="8">
        <v>599</v>
      </c>
      <c r="J47" s="8">
        <v>599</v>
      </c>
      <c r="K47" s="8">
        <v>599</v>
      </c>
      <c r="L47" s="8">
        <v>599</v>
      </c>
      <c r="M47" s="8">
        <v>599</v>
      </c>
      <c r="N47" s="8">
        <v>599</v>
      </c>
      <c r="O47" s="8">
        <v>599</v>
      </c>
      <c r="P47" s="8">
        <v>599</v>
      </c>
      <c r="Q47" s="8">
        <v>1452</v>
      </c>
      <c r="R47" s="8">
        <v>1452</v>
      </c>
      <c r="S47" s="8">
        <v>1452</v>
      </c>
      <c r="T47" s="8">
        <v>1368</v>
      </c>
      <c r="U47" s="8">
        <v>1368</v>
      </c>
      <c r="V47" s="8">
        <v>1368</v>
      </c>
      <c r="W47" s="8">
        <v>1368</v>
      </c>
      <c r="X47" s="8">
        <v>1296</v>
      </c>
      <c r="Y47" s="8">
        <v>1296</v>
      </c>
      <c r="Z47" s="8">
        <v>1296</v>
      </c>
      <c r="AA47" s="8">
        <v>1296</v>
      </c>
      <c r="AB47" s="8">
        <v>1296</v>
      </c>
      <c r="AC47" s="8">
        <v>1296</v>
      </c>
      <c r="AD47" s="8">
        <v>1296</v>
      </c>
      <c r="AE47" s="8">
        <v>1296</v>
      </c>
      <c r="AF47" s="9"/>
    </row>
    <row r="48" spans="1:32">
      <c r="A48" s="31" t="s">
        <v>336</v>
      </c>
      <c r="B48" s="8">
        <v>299</v>
      </c>
      <c r="C48" s="8">
        <v>299</v>
      </c>
      <c r="D48" s="8">
        <v>299</v>
      </c>
      <c r="E48" s="8">
        <v>299</v>
      </c>
      <c r="F48" s="8">
        <v>299</v>
      </c>
      <c r="G48" s="8">
        <v>299</v>
      </c>
      <c r="H48" s="8">
        <v>299</v>
      </c>
      <c r="I48" s="8">
        <v>299</v>
      </c>
      <c r="J48" s="8">
        <v>299</v>
      </c>
      <c r="K48" s="8">
        <v>299</v>
      </c>
      <c r="L48" s="8">
        <v>299</v>
      </c>
      <c r="M48" s="8">
        <v>299</v>
      </c>
      <c r="N48" s="8">
        <v>299</v>
      </c>
      <c r="O48" s="8">
        <v>299</v>
      </c>
      <c r="P48" s="8">
        <v>299</v>
      </c>
      <c r="Q48" s="8">
        <v>660</v>
      </c>
      <c r="R48" s="8">
        <v>660</v>
      </c>
      <c r="S48" s="8">
        <v>660</v>
      </c>
      <c r="T48" s="8">
        <v>600</v>
      </c>
      <c r="U48" s="8">
        <v>600</v>
      </c>
      <c r="V48" s="8">
        <v>600</v>
      </c>
      <c r="W48" s="8">
        <v>600</v>
      </c>
      <c r="X48" s="8">
        <v>540</v>
      </c>
      <c r="Y48" s="8">
        <v>540</v>
      </c>
      <c r="Z48" s="8">
        <v>540</v>
      </c>
      <c r="AA48" s="8">
        <v>540</v>
      </c>
      <c r="AB48" s="8">
        <v>540</v>
      </c>
      <c r="AC48" s="8">
        <v>540</v>
      </c>
      <c r="AD48" s="8">
        <v>540</v>
      </c>
      <c r="AE48" s="8">
        <v>540</v>
      </c>
      <c r="AF48" s="8"/>
    </row>
    <row r="49" spans="1:32">
      <c r="A49" s="31" t="s">
        <v>337</v>
      </c>
      <c r="B49" s="8">
        <v>399</v>
      </c>
      <c r="C49" s="8">
        <v>399</v>
      </c>
      <c r="D49" s="8">
        <v>399</v>
      </c>
      <c r="E49" s="8">
        <v>399</v>
      </c>
      <c r="F49" s="8">
        <v>399</v>
      </c>
      <c r="G49" s="8">
        <v>399</v>
      </c>
      <c r="H49" s="8">
        <v>399</v>
      </c>
      <c r="I49" s="8">
        <v>399</v>
      </c>
      <c r="J49" s="8">
        <v>399</v>
      </c>
      <c r="K49" s="8">
        <v>399</v>
      </c>
      <c r="L49" s="8">
        <v>399</v>
      </c>
      <c r="M49" s="8">
        <v>399</v>
      </c>
      <c r="N49" s="8">
        <v>399</v>
      </c>
      <c r="O49" s="8">
        <v>399</v>
      </c>
      <c r="P49" s="8">
        <v>399</v>
      </c>
      <c r="Q49" s="8">
        <v>1140</v>
      </c>
      <c r="R49" s="8">
        <v>1140</v>
      </c>
      <c r="S49" s="8">
        <v>1140</v>
      </c>
      <c r="T49" s="8">
        <v>1080</v>
      </c>
      <c r="U49" s="8">
        <v>1080</v>
      </c>
      <c r="V49" s="8">
        <v>1080</v>
      </c>
      <c r="W49" s="8">
        <v>1080</v>
      </c>
      <c r="X49" s="8">
        <v>1020</v>
      </c>
      <c r="Y49" s="8">
        <v>1020</v>
      </c>
      <c r="Z49" s="8">
        <v>1020</v>
      </c>
      <c r="AA49" s="8">
        <v>1020</v>
      </c>
      <c r="AB49" s="8">
        <v>1020</v>
      </c>
      <c r="AC49" s="8">
        <v>1020</v>
      </c>
      <c r="AD49" s="8">
        <v>1020</v>
      </c>
      <c r="AE49" s="8">
        <v>1020</v>
      </c>
      <c r="AF49" s="8"/>
    </row>
    <row r="50" spans="1:32">
      <c r="A50" s="31" t="s">
        <v>338</v>
      </c>
      <c r="B50" s="8">
        <v>779</v>
      </c>
      <c r="C50" s="8">
        <v>779</v>
      </c>
      <c r="D50" s="8">
        <v>779</v>
      </c>
      <c r="E50" s="8">
        <v>759</v>
      </c>
      <c r="F50" s="8">
        <v>759</v>
      </c>
      <c r="G50" s="8">
        <v>759</v>
      </c>
      <c r="H50" s="8">
        <v>759</v>
      </c>
      <c r="I50" s="8">
        <v>719</v>
      </c>
      <c r="J50" s="8">
        <v>719</v>
      </c>
      <c r="K50" s="8">
        <v>719</v>
      </c>
      <c r="L50" s="8">
        <v>719</v>
      </c>
      <c r="M50" s="8">
        <v>719</v>
      </c>
      <c r="N50" s="8">
        <v>719</v>
      </c>
      <c r="O50" s="8">
        <v>719</v>
      </c>
      <c r="P50" s="8">
        <v>719</v>
      </c>
      <c r="Q50" s="8">
        <v>1332</v>
      </c>
      <c r="R50" s="8">
        <v>1332</v>
      </c>
      <c r="S50" s="8">
        <v>1332</v>
      </c>
      <c r="T50" s="8">
        <v>1212</v>
      </c>
      <c r="U50" s="8">
        <v>1212</v>
      </c>
      <c r="V50" s="8">
        <v>1212</v>
      </c>
      <c r="W50" s="8">
        <v>1212</v>
      </c>
      <c r="X50" s="8">
        <v>1152</v>
      </c>
      <c r="Y50" s="8">
        <v>1152</v>
      </c>
      <c r="Z50" s="8">
        <v>1152</v>
      </c>
      <c r="AA50" s="8">
        <v>1152</v>
      </c>
      <c r="AB50" s="8">
        <v>1152</v>
      </c>
      <c r="AC50" s="8">
        <v>1152</v>
      </c>
      <c r="AD50" s="8">
        <v>1152</v>
      </c>
      <c r="AE50" s="8">
        <v>1068</v>
      </c>
      <c r="AF50" s="8"/>
    </row>
    <row r="51" spans="1:32">
      <c r="A51" s="31" t="s">
        <v>339</v>
      </c>
      <c r="B51" s="8">
        <v>519</v>
      </c>
      <c r="C51" s="8">
        <v>519</v>
      </c>
      <c r="D51" s="8">
        <v>519</v>
      </c>
      <c r="E51" s="8">
        <v>509</v>
      </c>
      <c r="F51" s="8">
        <v>509</v>
      </c>
      <c r="G51" s="8">
        <v>509</v>
      </c>
      <c r="H51" s="8">
        <v>509</v>
      </c>
      <c r="I51" s="8">
        <v>499</v>
      </c>
      <c r="J51" s="8">
        <v>499</v>
      </c>
      <c r="K51" s="8">
        <v>499</v>
      </c>
      <c r="L51" s="8">
        <v>499</v>
      </c>
      <c r="M51" s="8">
        <v>499</v>
      </c>
      <c r="N51" s="8">
        <v>499</v>
      </c>
      <c r="O51" s="8">
        <v>499</v>
      </c>
      <c r="P51" s="8">
        <v>499</v>
      </c>
      <c r="Q51" s="8">
        <v>1068</v>
      </c>
      <c r="R51" s="8">
        <v>1068</v>
      </c>
      <c r="S51" s="8">
        <v>1068</v>
      </c>
      <c r="T51" s="8">
        <v>972</v>
      </c>
      <c r="U51" s="8">
        <v>972</v>
      </c>
      <c r="V51" s="8">
        <v>972</v>
      </c>
      <c r="W51" s="8">
        <v>972</v>
      </c>
      <c r="X51" s="8">
        <v>888</v>
      </c>
      <c r="Y51" s="8">
        <v>888</v>
      </c>
      <c r="Z51" s="8">
        <v>888</v>
      </c>
      <c r="AA51" s="8">
        <v>888</v>
      </c>
      <c r="AB51" s="8">
        <v>888</v>
      </c>
      <c r="AC51" s="8">
        <v>888</v>
      </c>
      <c r="AD51" s="8">
        <v>888</v>
      </c>
      <c r="AE51" s="8">
        <v>888</v>
      </c>
      <c r="AF51" s="8"/>
    </row>
    <row r="52" spans="1:32">
      <c r="A52" s="31" t="s">
        <v>340</v>
      </c>
      <c r="B52" s="8">
        <v>289</v>
      </c>
      <c r="C52" s="8">
        <v>289</v>
      </c>
      <c r="D52" s="8">
        <v>289</v>
      </c>
      <c r="E52" s="8">
        <v>289</v>
      </c>
      <c r="F52" s="8">
        <v>289</v>
      </c>
      <c r="G52" s="8">
        <v>289</v>
      </c>
      <c r="H52" s="8">
        <v>289</v>
      </c>
      <c r="I52" s="8">
        <v>289</v>
      </c>
      <c r="J52" s="8">
        <v>289</v>
      </c>
      <c r="K52" s="8">
        <v>289</v>
      </c>
      <c r="L52" s="8">
        <v>289</v>
      </c>
      <c r="M52" s="8">
        <v>289</v>
      </c>
      <c r="N52" s="8">
        <v>289</v>
      </c>
      <c r="O52" s="8">
        <v>289</v>
      </c>
      <c r="P52" s="8">
        <v>289</v>
      </c>
      <c r="Q52" s="8">
        <v>1068</v>
      </c>
      <c r="R52" s="8">
        <v>1068</v>
      </c>
      <c r="S52" s="8">
        <v>1068</v>
      </c>
      <c r="T52" s="8">
        <v>972</v>
      </c>
      <c r="U52" s="8">
        <v>972</v>
      </c>
      <c r="V52" s="8">
        <v>972</v>
      </c>
      <c r="W52" s="8">
        <v>972</v>
      </c>
      <c r="X52" s="8">
        <v>888</v>
      </c>
      <c r="Y52" s="8">
        <v>888</v>
      </c>
      <c r="Z52" s="8">
        <v>888</v>
      </c>
      <c r="AA52" s="8">
        <v>888</v>
      </c>
      <c r="AB52" s="8">
        <v>888</v>
      </c>
      <c r="AC52" s="8">
        <v>888</v>
      </c>
      <c r="AD52" s="8">
        <v>888</v>
      </c>
      <c r="AE52" s="8">
        <v>888</v>
      </c>
      <c r="AF52" s="8"/>
    </row>
    <row r="53" spans="1:32">
      <c r="A53" s="31" t="s">
        <v>341</v>
      </c>
      <c r="B53" s="8">
        <v>299</v>
      </c>
      <c r="C53" s="8">
        <v>299</v>
      </c>
      <c r="D53" s="8">
        <v>299</v>
      </c>
      <c r="E53" s="8">
        <v>299</v>
      </c>
      <c r="F53" s="8">
        <v>299</v>
      </c>
      <c r="G53" s="8">
        <v>299</v>
      </c>
      <c r="H53" s="8">
        <v>299</v>
      </c>
      <c r="I53" s="8">
        <v>299</v>
      </c>
      <c r="J53" s="8">
        <v>299</v>
      </c>
      <c r="K53" s="8">
        <v>299</v>
      </c>
      <c r="L53" s="8">
        <v>299</v>
      </c>
      <c r="M53" s="8">
        <v>299</v>
      </c>
      <c r="N53" s="8">
        <v>299</v>
      </c>
      <c r="O53" s="8">
        <v>299</v>
      </c>
      <c r="P53" s="8">
        <v>299</v>
      </c>
      <c r="Q53" s="8">
        <v>660</v>
      </c>
      <c r="R53" s="8">
        <v>660</v>
      </c>
      <c r="S53" s="8">
        <v>660</v>
      </c>
      <c r="T53" s="8">
        <v>600</v>
      </c>
      <c r="U53" s="8">
        <v>600</v>
      </c>
      <c r="V53" s="8">
        <v>600</v>
      </c>
      <c r="W53" s="8">
        <v>600</v>
      </c>
      <c r="X53" s="8">
        <v>540</v>
      </c>
      <c r="Y53" s="8">
        <v>540</v>
      </c>
      <c r="Z53" s="8">
        <v>540</v>
      </c>
      <c r="AA53" s="8">
        <v>540</v>
      </c>
      <c r="AB53" s="8">
        <v>540</v>
      </c>
      <c r="AC53" s="8">
        <v>540</v>
      </c>
      <c r="AD53" s="8">
        <v>540</v>
      </c>
      <c r="AE53" s="8">
        <v>540</v>
      </c>
      <c r="AF53" s="8"/>
    </row>
    <row r="54" spans="1:32">
      <c r="A54" s="31" t="s">
        <v>342</v>
      </c>
      <c r="B54" s="8">
        <v>589</v>
      </c>
      <c r="C54" s="8">
        <v>589</v>
      </c>
      <c r="D54" s="8">
        <v>589</v>
      </c>
      <c r="E54" s="8">
        <v>579</v>
      </c>
      <c r="F54" s="8">
        <v>579</v>
      </c>
      <c r="G54" s="8">
        <v>579</v>
      </c>
      <c r="H54" s="8">
        <v>579</v>
      </c>
      <c r="I54" s="8">
        <v>549</v>
      </c>
      <c r="J54" s="8">
        <v>549</v>
      </c>
      <c r="K54" s="8">
        <v>549</v>
      </c>
      <c r="L54" s="8">
        <v>549</v>
      </c>
      <c r="M54" s="8">
        <v>549</v>
      </c>
      <c r="N54" s="8">
        <v>549</v>
      </c>
      <c r="O54" s="8">
        <v>549</v>
      </c>
      <c r="P54" s="8">
        <v>549</v>
      </c>
      <c r="Q54" s="8">
        <v>1236</v>
      </c>
      <c r="R54" s="8">
        <v>1236</v>
      </c>
      <c r="S54" s="8">
        <v>1236</v>
      </c>
      <c r="T54" s="8">
        <v>1128</v>
      </c>
      <c r="U54" s="8">
        <v>1128</v>
      </c>
      <c r="V54" s="8">
        <v>1128</v>
      </c>
      <c r="W54" s="8">
        <v>1128</v>
      </c>
      <c r="X54" s="8">
        <v>1020</v>
      </c>
      <c r="Y54" s="8">
        <v>1020</v>
      </c>
      <c r="Z54" s="8">
        <v>1020</v>
      </c>
      <c r="AA54" s="8">
        <v>1020</v>
      </c>
      <c r="AB54" s="8">
        <v>1020</v>
      </c>
      <c r="AC54" s="8">
        <v>1020</v>
      </c>
      <c r="AD54" s="8">
        <v>1020</v>
      </c>
      <c r="AE54" s="8">
        <v>876</v>
      </c>
      <c r="AF54" s="8"/>
    </row>
    <row r="55" spans="1:32">
      <c r="A55" s="31" t="s">
        <v>343</v>
      </c>
      <c r="B55" s="8">
        <v>729</v>
      </c>
      <c r="C55" s="8">
        <v>729</v>
      </c>
      <c r="D55" s="8">
        <v>729</v>
      </c>
      <c r="E55" s="8">
        <v>709</v>
      </c>
      <c r="F55" s="8">
        <v>709</v>
      </c>
      <c r="G55" s="8">
        <v>709</v>
      </c>
      <c r="H55" s="8">
        <v>709</v>
      </c>
      <c r="I55" s="8">
        <v>669</v>
      </c>
      <c r="J55" s="8">
        <v>669</v>
      </c>
      <c r="K55" s="8">
        <v>669</v>
      </c>
      <c r="L55" s="8">
        <v>669</v>
      </c>
      <c r="M55" s="8">
        <v>669</v>
      </c>
      <c r="N55" s="8">
        <v>669</v>
      </c>
      <c r="O55" s="8">
        <v>669</v>
      </c>
      <c r="P55" s="8">
        <v>669</v>
      </c>
      <c r="Q55" s="8">
        <v>1500</v>
      </c>
      <c r="R55" s="8">
        <v>1500</v>
      </c>
      <c r="S55" s="8">
        <v>1500</v>
      </c>
      <c r="T55" s="8">
        <v>1368</v>
      </c>
      <c r="U55" s="8">
        <v>1368</v>
      </c>
      <c r="V55" s="8">
        <v>1368</v>
      </c>
      <c r="W55" s="8">
        <v>1368</v>
      </c>
      <c r="X55" s="8">
        <v>1248</v>
      </c>
      <c r="Y55" s="8">
        <v>1248</v>
      </c>
      <c r="Z55" s="8">
        <v>1248</v>
      </c>
      <c r="AA55" s="8">
        <v>1248</v>
      </c>
      <c r="AB55" s="8">
        <v>1248</v>
      </c>
      <c r="AC55" s="8">
        <v>1248</v>
      </c>
      <c r="AD55" s="8">
        <v>1248</v>
      </c>
      <c r="AE55" s="8">
        <v>1068</v>
      </c>
      <c r="AF55" s="8"/>
    </row>
    <row r="56" spans="1:32">
      <c r="A56" s="32" t="s">
        <v>344</v>
      </c>
      <c r="B56" s="8">
        <v>3999</v>
      </c>
      <c r="C56" s="8">
        <v>3999</v>
      </c>
      <c r="D56" s="8">
        <v>3999</v>
      </c>
      <c r="E56" s="8">
        <v>3999</v>
      </c>
      <c r="F56" s="8">
        <v>3999</v>
      </c>
      <c r="G56" s="8">
        <v>3999</v>
      </c>
      <c r="H56" s="8">
        <v>3999</v>
      </c>
      <c r="I56" s="8">
        <v>3999</v>
      </c>
      <c r="J56" s="8">
        <v>3999</v>
      </c>
      <c r="K56" s="8">
        <v>3999</v>
      </c>
      <c r="L56" s="8">
        <v>3999</v>
      </c>
      <c r="M56" s="8">
        <v>3999</v>
      </c>
      <c r="N56" s="8">
        <v>3999</v>
      </c>
      <c r="O56" s="8">
        <v>3999</v>
      </c>
      <c r="P56" s="8">
        <v>3999</v>
      </c>
      <c r="Q56" s="8">
        <v>7992</v>
      </c>
      <c r="R56" s="8">
        <v>7992</v>
      </c>
      <c r="S56" s="8">
        <v>7992</v>
      </c>
      <c r="T56" s="8">
        <v>7260</v>
      </c>
      <c r="U56" s="8">
        <v>7260</v>
      </c>
      <c r="V56" s="8">
        <v>7260</v>
      </c>
      <c r="W56" s="8">
        <v>7260</v>
      </c>
      <c r="X56" s="8">
        <v>6600</v>
      </c>
      <c r="Y56" s="8">
        <v>6600</v>
      </c>
      <c r="Z56" s="8">
        <v>6600</v>
      </c>
      <c r="AA56" s="8">
        <v>6600</v>
      </c>
      <c r="AB56" s="8">
        <v>6600</v>
      </c>
      <c r="AC56" s="8">
        <v>6600</v>
      </c>
      <c r="AD56" s="8">
        <v>6600</v>
      </c>
      <c r="AE56" s="8">
        <v>6204</v>
      </c>
      <c r="AF56" s="8"/>
    </row>
    <row r="57" spans="1:32">
      <c r="A57" s="32" t="s">
        <v>345</v>
      </c>
      <c r="B57" s="8">
        <v>4999</v>
      </c>
      <c r="C57" s="8">
        <v>4999</v>
      </c>
      <c r="D57" s="8">
        <v>4999</v>
      </c>
      <c r="E57" s="8">
        <v>4999</v>
      </c>
      <c r="F57" s="8">
        <v>4999</v>
      </c>
      <c r="G57" s="8">
        <v>4999</v>
      </c>
      <c r="H57" s="8">
        <v>4999</v>
      </c>
      <c r="I57" s="8">
        <v>4999</v>
      </c>
      <c r="J57" s="8">
        <v>4999</v>
      </c>
      <c r="K57" s="8">
        <v>4999</v>
      </c>
      <c r="L57" s="8">
        <v>4999</v>
      </c>
      <c r="M57" s="8">
        <v>4999</v>
      </c>
      <c r="N57" s="8">
        <v>4999</v>
      </c>
      <c r="O57" s="8">
        <v>4999</v>
      </c>
      <c r="P57" s="8">
        <v>4999</v>
      </c>
      <c r="Q57" s="8">
        <v>9984</v>
      </c>
      <c r="R57" s="8">
        <v>9984</v>
      </c>
      <c r="S57" s="8">
        <v>9984</v>
      </c>
      <c r="T57" s="8">
        <v>9072</v>
      </c>
      <c r="U57" s="8">
        <v>9072</v>
      </c>
      <c r="V57" s="8">
        <v>9072</v>
      </c>
      <c r="W57" s="8">
        <v>9072</v>
      </c>
      <c r="X57" s="8">
        <v>8244</v>
      </c>
      <c r="Y57" s="8">
        <v>8244</v>
      </c>
      <c r="Z57" s="8">
        <v>8244</v>
      </c>
      <c r="AA57" s="8">
        <v>8244</v>
      </c>
      <c r="AB57" s="8">
        <v>8244</v>
      </c>
      <c r="AC57" s="8">
        <v>8244</v>
      </c>
      <c r="AD57" s="8">
        <v>8244</v>
      </c>
      <c r="AE57" s="8">
        <v>7800</v>
      </c>
      <c r="AF57" s="8"/>
    </row>
    <row r="58" spans="1:32">
      <c r="A58" s="32" t="s">
        <v>346</v>
      </c>
      <c r="B58" s="8">
        <v>5999</v>
      </c>
      <c r="C58" s="8">
        <v>5999</v>
      </c>
      <c r="D58" s="8">
        <v>5999</v>
      </c>
      <c r="E58" s="8">
        <v>5999</v>
      </c>
      <c r="F58" s="8">
        <v>5999</v>
      </c>
      <c r="G58" s="8">
        <v>5999</v>
      </c>
      <c r="H58" s="8">
        <v>5999</v>
      </c>
      <c r="I58" s="8">
        <v>5999</v>
      </c>
      <c r="J58" s="8">
        <v>5999</v>
      </c>
      <c r="K58" s="8">
        <v>5999</v>
      </c>
      <c r="L58" s="8">
        <v>5999</v>
      </c>
      <c r="M58" s="8">
        <v>5999</v>
      </c>
      <c r="N58" s="8">
        <v>5999</v>
      </c>
      <c r="O58" s="8">
        <v>5999</v>
      </c>
      <c r="P58" s="8">
        <v>5999</v>
      </c>
      <c r="Q58" s="8">
        <v>11988</v>
      </c>
      <c r="R58" s="8">
        <v>11988</v>
      </c>
      <c r="S58" s="8">
        <v>11988</v>
      </c>
      <c r="T58" s="8">
        <v>10896</v>
      </c>
      <c r="U58" s="8">
        <v>10896</v>
      </c>
      <c r="V58" s="8">
        <v>10896</v>
      </c>
      <c r="W58" s="8">
        <v>10896</v>
      </c>
      <c r="X58" s="8">
        <v>9900</v>
      </c>
      <c r="Y58" s="8">
        <v>9900</v>
      </c>
      <c r="Z58" s="8">
        <v>9900</v>
      </c>
      <c r="AA58" s="8">
        <v>9900</v>
      </c>
      <c r="AB58" s="8">
        <v>9900</v>
      </c>
      <c r="AC58" s="8">
        <v>9900</v>
      </c>
      <c r="AD58" s="8">
        <v>9900</v>
      </c>
      <c r="AE58" s="8">
        <v>9360</v>
      </c>
      <c r="AF58" s="8"/>
    </row>
    <row r="59" spans="1:32">
      <c r="A59" s="32" t="s">
        <v>347</v>
      </c>
      <c r="B59" s="8">
        <v>649</v>
      </c>
      <c r="C59" s="8">
        <v>649</v>
      </c>
      <c r="D59" s="8">
        <v>649</v>
      </c>
      <c r="E59" s="8">
        <v>639</v>
      </c>
      <c r="F59" s="8">
        <v>639</v>
      </c>
      <c r="G59" s="8">
        <v>639</v>
      </c>
      <c r="H59" s="8">
        <v>639</v>
      </c>
      <c r="I59" s="8">
        <v>599</v>
      </c>
      <c r="J59" s="8">
        <v>599</v>
      </c>
      <c r="K59" s="8">
        <v>599</v>
      </c>
      <c r="L59" s="8">
        <v>599</v>
      </c>
      <c r="M59" s="8">
        <v>599</v>
      </c>
      <c r="N59" s="8">
        <v>599</v>
      </c>
      <c r="O59" s="8">
        <v>599</v>
      </c>
      <c r="P59" s="8">
        <v>599</v>
      </c>
      <c r="Q59" s="8">
        <v>1332</v>
      </c>
      <c r="R59" s="8">
        <v>1332</v>
      </c>
      <c r="S59" s="8">
        <v>1332</v>
      </c>
      <c r="T59" s="8">
        <v>1212</v>
      </c>
      <c r="U59" s="8">
        <v>1212</v>
      </c>
      <c r="V59" s="8">
        <v>1212</v>
      </c>
      <c r="W59" s="8">
        <v>1212</v>
      </c>
      <c r="X59" s="8">
        <v>1104</v>
      </c>
      <c r="Y59" s="8">
        <v>1104</v>
      </c>
      <c r="Z59" s="8">
        <v>1104</v>
      </c>
      <c r="AA59" s="8">
        <v>1104</v>
      </c>
      <c r="AB59" s="8">
        <v>1104</v>
      </c>
      <c r="AC59" s="8">
        <v>1104</v>
      </c>
      <c r="AD59" s="8">
        <v>1104</v>
      </c>
      <c r="AE59" s="8">
        <v>960</v>
      </c>
      <c r="AF59" s="9"/>
    </row>
    <row r="60" spans="1:32">
      <c r="A60" s="32" t="s">
        <v>348</v>
      </c>
      <c r="B60" s="8">
        <v>939</v>
      </c>
      <c r="C60" s="8">
        <v>939</v>
      </c>
      <c r="D60" s="8">
        <v>939</v>
      </c>
      <c r="E60" s="8">
        <v>929</v>
      </c>
      <c r="F60" s="8">
        <v>929</v>
      </c>
      <c r="G60" s="8">
        <v>919</v>
      </c>
      <c r="H60" s="8">
        <v>919</v>
      </c>
      <c r="I60" s="8">
        <v>879</v>
      </c>
      <c r="J60" s="8">
        <v>879</v>
      </c>
      <c r="K60" s="8">
        <v>879</v>
      </c>
      <c r="L60" s="8">
        <v>879</v>
      </c>
      <c r="M60" s="8">
        <v>879</v>
      </c>
      <c r="N60" s="8">
        <v>879</v>
      </c>
      <c r="O60" s="8">
        <v>879</v>
      </c>
      <c r="P60" s="8">
        <v>879</v>
      </c>
      <c r="Q60" s="8">
        <v>1944</v>
      </c>
      <c r="R60" s="8">
        <v>1944</v>
      </c>
      <c r="S60" s="8">
        <v>1944</v>
      </c>
      <c r="T60" s="8">
        <v>1764</v>
      </c>
      <c r="U60" s="8">
        <v>1764</v>
      </c>
      <c r="V60" s="8">
        <v>1764</v>
      </c>
      <c r="W60" s="8">
        <v>1764</v>
      </c>
      <c r="X60" s="8">
        <v>1608</v>
      </c>
      <c r="Y60" s="8">
        <v>1608</v>
      </c>
      <c r="Z60" s="8">
        <v>1608</v>
      </c>
      <c r="AA60" s="8">
        <v>1608</v>
      </c>
      <c r="AB60" s="8">
        <v>1608</v>
      </c>
      <c r="AC60" s="8">
        <v>1608</v>
      </c>
      <c r="AD60" s="8">
        <v>1608</v>
      </c>
      <c r="AE60" s="8">
        <v>1404</v>
      </c>
      <c r="AF60" s="9"/>
    </row>
    <row r="61" spans="1:32">
      <c r="A61" s="32" t="s">
        <v>349</v>
      </c>
      <c r="B61" s="8">
        <v>969</v>
      </c>
      <c r="C61" s="8">
        <v>969</v>
      </c>
      <c r="D61" s="8">
        <v>969</v>
      </c>
      <c r="E61" s="8">
        <v>969</v>
      </c>
      <c r="F61" s="8">
        <v>969</v>
      </c>
      <c r="G61" s="8">
        <v>969</v>
      </c>
      <c r="H61" s="8">
        <v>969</v>
      </c>
      <c r="I61" s="8">
        <v>969</v>
      </c>
      <c r="J61" s="8">
        <v>969</v>
      </c>
      <c r="K61" s="8">
        <v>969</v>
      </c>
      <c r="L61" s="8">
        <v>969</v>
      </c>
      <c r="M61" s="8">
        <v>969</v>
      </c>
      <c r="N61" s="8">
        <v>969</v>
      </c>
      <c r="O61" s="8">
        <v>969</v>
      </c>
      <c r="P61" s="8">
        <v>969</v>
      </c>
      <c r="Q61" s="8">
        <v>3192</v>
      </c>
      <c r="R61" s="8">
        <v>3192</v>
      </c>
      <c r="S61" s="8">
        <v>3192</v>
      </c>
      <c r="T61" s="8">
        <v>2904</v>
      </c>
      <c r="U61" s="8">
        <v>2904</v>
      </c>
      <c r="V61" s="8">
        <v>2904</v>
      </c>
      <c r="W61" s="8">
        <v>2904</v>
      </c>
      <c r="X61" s="8">
        <v>2640</v>
      </c>
      <c r="Y61" s="8">
        <v>2640</v>
      </c>
      <c r="Z61" s="8">
        <v>2640</v>
      </c>
      <c r="AA61" s="8">
        <v>2640</v>
      </c>
      <c r="AB61" s="8">
        <v>2640</v>
      </c>
      <c r="AC61" s="8">
        <v>2640</v>
      </c>
      <c r="AD61" s="8">
        <v>2640</v>
      </c>
      <c r="AE61" s="8">
        <v>2400</v>
      </c>
      <c r="AF61" s="9"/>
    </row>
    <row r="62" spans="1:32">
      <c r="A62" s="32" t="s">
        <v>350</v>
      </c>
      <c r="B62" s="8">
        <v>299</v>
      </c>
      <c r="C62" s="8">
        <v>299</v>
      </c>
      <c r="D62" s="8">
        <v>299</v>
      </c>
      <c r="E62" s="8">
        <v>299</v>
      </c>
      <c r="F62" s="8">
        <v>299</v>
      </c>
      <c r="G62" s="8">
        <v>299</v>
      </c>
      <c r="H62" s="8">
        <v>299</v>
      </c>
      <c r="I62" s="8">
        <v>299</v>
      </c>
      <c r="J62" s="8">
        <v>299</v>
      </c>
      <c r="K62" s="8">
        <v>299</v>
      </c>
      <c r="L62" s="8">
        <v>299</v>
      </c>
      <c r="M62" s="8">
        <v>299</v>
      </c>
      <c r="N62" s="8">
        <v>299</v>
      </c>
      <c r="O62" s="8">
        <v>299</v>
      </c>
      <c r="P62" s="8">
        <v>299</v>
      </c>
      <c r="Q62" s="8">
        <v>660</v>
      </c>
      <c r="R62" s="8">
        <v>660</v>
      </c>
      <c r="S62" s="8">
        <v>660</v>
      </c>
      <c r="T62" s="8">
        <v>600</v>
      </c>
      <c r="U62" s="8">
        <v>600</v>
      </c>
      <c r="V62" s="8">
        <v>600</v>
      </c>
      <c r="W62" s="8">
        <v>600</v>
      </c>
      <c r="X62" s="8">
        <v>540</v>
      </c>
      <c r="Y62" s="8">
        <v>540</v>
      </c>
      <c r="Z62" s="8">
        <v>540</v>
      </c>
      <c r="AA62" s="8">
        <v>540</v>
      </c>
      <c r="AB62" s="8">
        <v>540</v>
      </c>
      <c r="AC62" s="8">
        <v>540</v>
      </c>
      <c r="AD62" s="8">
        <v>540</v>
      </c>
      <c r="AE62" s="8">
        <v>540</v>
      </c>
      <c r="AF62" s="8"/>
    </row>
    <row r="63" spans="1:32">
      <c r="A63" s="32" t="s">
        <v>351</v>
      </c>
      <c r="B63" s="8">
        <v>179</v>
      </c>
      <c r="C63" s="8">
        <v>179</v>
      </c>
      <c r="D63" s="8">
        <v>179</v>
      </c>
      <c r="E63" s="8">
        <v>179</v>
      </c>
      <c r="F63" s="8">
        <v>179</v>
      </c>
      <c r="G63" s="8">
        <v>179</v>
      </c>
      <c r="H63" s="8">
        <v>179</v>
      </c>
      <c r="I63" s="8">
        <v>179</v>
      </c>
      <c r="J63" s="8">
        <v>179</v>
      </c>
      <c r="K63" s="8">
        <v>179</v>
      </c>
      <c r="L63" s="8">
        <v>179</v>
      </c>
      <c r="M63" s="8">
        <v>179</v>
      </c>
      <c r="N63" s="8">
        <v>179</v>
      </c>
      <c r="O63" s="8">
        <v>179</v>
      </c>
      <c r="P63" s="8">
        <v>179</v>
      </c>
      <c r="Q63" s="8">
        <v>660</v>
      </c>
      <c r="R63" s="8">
        <v>660</v>
      </c>
      <c r="S63" s="8">
        <v>660</v>
      </c>
      <c r="T63" s="8">
        <v>600</v>
      </c>
      <c r="U63" s="8">
        <v>600</v>
      </c>
      <c r="V63" s="8">
        <v>600</v>
      </c>
      <c r="W63" s="8">
        <v>600</v>
      </c>
      <c r="X63" s="8">
        <v>540</v>
      </c>
      <c r="Y63" s="8">
        <v>540</v>
      </c>
      <c r="Z63" s="8">
        <v>540</v>
      </c>
      <c r="AA63" s="8">
        <v>540</v>
      </c>
      <c r="AB63" s="8">
        <v>540</v>
      </c>
      <c r="AC63" s="8">
        <v>540</v>
      </c>
      <c r="AD63" s="8">
        <v>540</v>
      </c>
      <c r="AE63" s="8">
        <v>540</v>
      </c>
      <c r="AF63" s="8"/>
    </row>
    <row r="64" spans="1:32">
      <c r="A64" s="32" t="s">
        <v>352</v>
      </c>
      <c r="B64" s="8">
        <v>659</v>
      </c>
      <c r="C64" s="8">
        <v>659</v>
      </c>
      <c r="D64" s="8">
        <v>659</v>
      </c>
      <c r="E64" s="8">
        <v>649</v>
      </c>
      <c r="F64" s="8">
        <v>649</v>
      </c>
      <c r="G64" s="8">
        <v>649</v>
      </c>
      <c r="H64" s="8">
        <v>649</v>
      </c>
      <c r="I64" s="8">
        <v>599</v>
      </c>
      <c r="J64" s="8">
        <v>599</v>
      </c>
      <c r="K64" s="8">
        <v>599</v>
      </c>
      <c r="L64" s="8">
        <v>599</v>
      </c>
      <c r="M64" s="8">
        <v>599</v>
      </c>
      <c r="N64" s="8">
        <v>599</v>
      </c>
      <c r="O64" s="8">
        <v>599</v>
      </c>
      <c r="P64" s="8">
        <v>599</v>
      </c>
      <c r="Q64" s="8">
        <v>1296</v>
      </c>
      <c r="R64" s="8">
        <v>1296</v>
      </c>
      <c r="S64" s="8">
        <v>1296</v>
      </c>
      <c r="T64" s="8">
        <v>1176</v>
      </c>
      <c r="U64" s="8">
        <v>1176</v>
      </c>
      <c r="V64" s="8">
        <v>1176</v>
      </c>
      <c r="W64" s="8">
        <v>1176</v>
      </c>
      <c r="X64" s="8">
        <v>1068</v>
      </c>
      <c r="Y64" s="8">
        <v>1068</v>
      </c>
      <c r="Z64" s="8">
        <v>1068</v>
      </c>
      <c r="AA64" s="8">
        <v>1068</v>
      </c>
      <c r="AB64" s="8">
        <v>1068</v>
      </c>
      <c r="AC64" s="8">
        <v>1068</v>
      </c>
      <c r="AD64" s="8">
        <v>1068</v>
      </c>
      <c r="AE64" s="8">
        <v>1068</v>
      </c>
      <c r="AF64" s="8"/>
    </row>
    <row r="65" spans="1:32">
      <c r="A65" s="32" t="s">
        <v>353</v>
      </c>
      <c r="B65" s="8">
        <v>579</v>
      </c>
      <c r="C65" s="8">
        <v>579</v>
      </c>
      <c r="D65" s="8">
        <v>579</v>
      </c>
      <c r="E65" s="8">
        <v>579</v>
      </c>
      <c r="F65" s="8">
        <v>579</v>
      </c>
      <c r="G65" s="8">
        <v>579</v>
      </c>
      <c r="H65" s="8">
        <v>579</v>
      </c>
      <c r="I65" s="8">
        <v>579</v>
      </c>
      <c r="J65" s="8">
        <v>579</v>
      </c>
      <c r="K65" s="8">
        <v>579</v>
      </c>
      <c r="L65" s="8">
        <v>579</v>
      </c>
      <c r="M65" s="8">
        <v>579</v>
      </c>
      <c r="N65" s="8">
        <v>579</v>
      </c>
      <c r="O65" s="8">
        <v>579</v>
      </c>
      <c r="P65" s="8">
        <v>579</v>
      </c>
      <c r="Q65" s="8">
        <v>1308</v>
      </c>
      <c r="R65" s="8">
        <v>1308</v>
      </c>
      <c r="S65" s="8">
        <v>1308</v>
      </c>
      <c r="T65" s="8">
        <v>1188</v>
      </c>
      <c r="U65" s="8">
        <v>1188</v>
      </c>
      <c r="V65" s="8">
        <v>1188</v>
      </c>
      <c r="W65" s="8">
        <v>1188</v>
      </c>
      <c r="X65" s="8">
        <v>1080</v>
      </c>
      <c r="Y65" s="8">
        <v>1080</v>
      </c>
      <c r="Z65" s="8">
        <v>1080</v>
      </c>
      <c r="AA65" s="8">
        <v>1080</v>
      </c>
      <c r="AB65" s="8">
        <v>1080</v>
      </c>
      <c r="AC65" s="8">
        <v>1080</v>
      </c>
      <c r="AD65" s="8">
        <v>1080</v>
      </c>
      <c r="AE65" s="8">
        <v>924</v>
      </c>
      <c r="AF65" s="9"/>
    </row>
    <row r="66" spans="1:32">
      <c r="A66" s="32" t="s">
        <v>354</v>
      </c>
      <c r="B66" s="8">
        <v>699</v>
      </c>
      <c r="C66" s="8">
        <v>699</v>
      </c>
      <c r="D66" s="8">
        <v>699</v>
      </c>
      <c r="E66" s="8">
        <v>699</v>
      </c>
      <c r="F66" s="8">
        <v>699</v>
      </c>
      <c r="G66" s="8">
        <v>699</v>
      </c>
      <c r="H66" s="8">
        <v>699</v>
      </c>
      <c r="I66" s="8">
        <v>699</v>
      </c>
      <c r="J66" s="8">
        <v>699</v>
      </c>
      <c r="K66" s="8">
        <v>699</v>
      </c>
      <c r="L66" s="8">
        <v>699</v>
      </c>
      <c r="M66" s="8">
        <v>699</v>
      </c>
      <c r="N66" s="8">
        <v>699</v>
      </c>
      <c r="O66" s="8">
        <v>699</v>
      </c>
      <c r="P66" s="8">
        <v>699</v>
      </c>
      <c r="Q66" s="8">
        <v>1584</v>
      </c>
      <c r="R66" s="8">
        <v>1584</v>
      </c>
      <c r="S66" s="8">
        <v>1584</v>
      </c>
      <c r="T66" s="8">
        <v>1440</v>
      </c>
      <c r="U66" s="8">
        <v>1440</v>
      </c>
      <c r="V66" s="8">
        <v>1440</v>
      </c>
      <c r="W66" s="8">
        <v>1440</v>
      </c>
      <c r="X66" s="8">
        <v>1308</v>
      </c>
      <c r="Y66" s="8">
        <v>1308</v>
      </c>
      <c r="Z66" s="8">
        <v>1308</v>
      </c>
      <c r="AA66" s="8">
        <v>1308</v>
      </c>
      <c r="AB66" s="8">
        <v>1308</v>
      </c>
      <c r="AC66" s="8">
        <v>1308</v>
      </c>
      <c r="AD66" s="8">
        <v>1308</v>
      </c>
      <c r="AE66" s="8">
        <v>1116</v>
      </c>
      <c r="AF66" s="9"/>
    </row>
    <row r="67" spans="1:32">
      <c r="A67" s="32" t="s">
        <v>355</v>
      </c>
      <c r="B67" s="8">
        <v>459</v>
      </c>
      <c r="C67" s="8">
        <v>459</v>
      </c>
      <c r="D67" s="8">
        <v>459</v>
      </c>
      <c r="E67" s="8">
        <v>459</v>
      </c>
      <c r="F67" s="8">
        <v>459</v>
      </c>
      <c r="G67" s="8">
        <v>459</v>
      </c>
      <c r="H67" s="8">
        <v>459</v>
      </c>
      <c r="I67" s="8">
        <v>459</v>
      </c>
      <c r="J67" s="8">
        <v>459</v>
      </c>
      <c r="K67" s="8">
        <v>459</v>
      </c>
      <c r="L67" s="8">
        <v>459</v>
      </c>
      <c r="M67" s="8">
        <v>459</v>
      </c>
      <c r="N67" s="8">
        <v>459</v>
      </c>
      <c r="O67" s="8">
        <v>459</v>
      </c>
      <c r="P67" s="8">
        <v>459</v>
      </c>
      <c r="Q67" s="8">
        <v>1044</v>
      </c>
      <c r="R67" s="8">
        <v>1044</v>
      </c>
      <c r="S67" s="8">
        <v>1044</v>
      </c>
      <c r="T67" s="8">
        <v>948</v>
      </c>
      <c r="U67" s="8">
        <v>948</v>
      </c>
      <c r="V67" s="8">
        <v>948</v>
      </c>
      <c r="W67" s="8">
        <v>948</v>
      </c>
      <c r="X67" s="8">
        <v>864</v>
      </c>
      <c r="Y67" s="8">
        <v>864</v>
      </c>
      <c r="Z67" s="8">
        <v>864</v>
      </c>
      <c r="AA67" s="8">
        <v>864</v>
      </c>
      <c r="AB67" s="8">
        <v>864</v>
      </c>
      <c r="AC67" s="8">
        <v>864</v>
      </c>
      <c r="AD67" s="8">
        <v>864</v>
      </c>
      <c r="AE67" s="8">
        <v>732</v>
      </c>
      <c r="AF67" s="8"/>
    </row>
    <row r="68" spans="1:32">
      <c r="A68" s="32" t="s">
        <v>356</v>
      </c>
      <c r="B68" s="8">
        <v>459</v>
      </c>
      <c r="C68" s="8">
        <v>459</v>
      </c>
      <c r="D68" s="8">
        <v>459</v>
      </c>
      <c r="E68" s="8">
        <v>459</v>
      </c>
      <c r="F68" s="8">
        <v>459</v>
      </c>
      <c r="G68" s="8">
        <v>459</v>
      </c>
      <c r="H68" s="8">
        <v>459</v>
      </c>
      <c r="I68" s="8">
        <v>459</v>
      </c>
      <c r="J68" s="8">
        <v>459</v>
      </c>
      <c r="K68" s="8">
        <v>459</v>
      </c>
      <c r="L68" s="8">
        <v>459</v>
      </c>
      <c r="M68" s="8">
        <v>459</v>
      </c>
      <c r="N68" s="8">
        <v>459</v>
      </c>
      <c r="O68" s="8">
        <v>459</v>
      </c>
      <c r="P68" s="8">
        <v>459</v>
      </c>
      <c r="Q68" s="8">
        <v>1416</v>
      </c>
      <c r="R68" s="8">
        <v>1416</v>
      </c>
      <c r="S68" s="8">
        <v>1416</v>
      </c>
      <c r="T68" s="8">
        <v>1284</v>
      </c>
      <c r="U68" s="8">
        <v>1284</v>
      </c>
      <c r="V68" s="8">
        <v>1284</v>
      </c>
      <c r="W68" s="8">
        <v>1284</v>
      </c>
      <c r="X68" s="8">
        <v>1164</v>
      </c>
      <c r="Y68" s="8">
        <v>1164</v>
      </c>
      <c r="Z68" s="8">
        <v>1164</v>
      </c>
      <c r="AA68" s="8">
        <v>1164</v>
      </c>
      <c r="AB68" s="8">
        <v>1164</v>
      </c>
      <c r="AC68" s="8">
        <v>1164</v>
      </c>
      <c r="AD68" s="8">
        <v>1164</v>
      </c>
      <c r="AE68" s="8">
        <v>1164</v>
      </c>
      <c r="AF68" s="8"/>
    </row>
    <row r="69" spans="1:32">
      <c r="A69" s="32" t="s">
        <v>357</v>
      </c>
      <c r="B69" s="8">
        <v>299</v>
      </c>
      <c r="C69" s="8">
        <v>299</v>
      </c>
      <c r="D69" s="8">
        <v>299</v>
      </c>
      <c r="E69" s="8">
        <v>299</v>
      </c>
      <c r="F69" s="8">
        <v>299</v>
      </c>
      <c r="G69" s="8">
        <v>299</v>
      </c>
      <c r="H69" s="8">
        <v>299</v>
      </c>
      <c r="I69" s="8">
        <v>299</v>
      </c>
      <c r="J69" s="8">
        <v>299</v>
      </c>
      <c r="K69" s="8">
        <v>299</v>
      </c>
      <c r="L69" s="8">
        <v>299</v>
      </c>
      <c r="M69" s="8">
        <v>299</v>
      </c>
      <c r="N69" s="8">
        <v>299</v>
      </c>
      <c r="O69" s="8">
        <v>299</v>
      </c>
      <c r="P69" s="8">
        <v>299</v>
      </c>
      <c r="Q69" s="8">
        <v>660</v>
      </c>
      <c r="R69" s="8">
        <v>660</v>
      </c>
      <c r="S69" s="8">
        <v>660</v>
      </c>
      <c r="T69" s="8">
        <v>600</v>
      </c>
      <c r="U69" s="8">
        <v>600</v>
      </c>
      <c r="V69" s="8">
        <v>600</v>
      </c>
      <c r="W69" s="8">
        <v>600</v>
      </c>
      <c r="X69" s="8">
        <v>540</v>
      </c>
      <c r="Y69" s="8">
        <v>540</v>
      </c>
      <c r="Z69" s="8">
        <v>540</v>
      </c>
      <c r="AA69" s="8">
        <v>540</v>
      </c>
      <c r="AB69" s="8">
        <v>540</v>
      </c>
      <c r="AC69" s="8">
        <v>540</v>
      </c>
      <c r="AD69" s="8">
        <v>540</v>
      </c>
      <c r="AE69" s="8">
        <v>540</v>
      </c>
      <c r="AF69" s="8"/>
    </row>
    <row r="70" spans="1:32">
      <c r="A70" s="32" t="s">
        <v>358</v>
      </c>
      <c r="B70" s="8">
        <v>1189</v>
      </c>
      <c r="C70" s="8">
        <v>1189</v>
      </c>
      <c r="D70" s="8">
        <v>1189</v>
      </c>
      <c r="E70" s="8">
        <v>1169</v>
      </c>
      <c r="F70" s="8">
        <v>1169</v>
      </c>
      <c r="G70" s="8">
        <v>1159</v>
      </c>
      <c r="H70" s="8">
        <v>1159</v>
      </c>
      <c r="I70" s="8">
        <v>1119</v>
      </c>
      <c r="J70" s="8">
        <v>1119</v>
      </c>
      <c r="K70" s="8">
        <v>1119</v>
      </c>
      <c r="L70" s="8">
        <v>1119</v>
      </c>
      <c r="M70" s="8">
        <v>1119</v>
      </c>
      <c r="N70" s="8">
        <v>1119</v>
      </c>
      <c r="O70" s="8">
        <v>1119</v>
      </c>
      <c r="P70" s="8">
        <v>1119</v>
      </c>
      <c r="Q70" s="8">
        <v>2268</v>
      </c>
      <c r="R70" s="8">
        <v>2268</v>
      </c>
      <c r="S70" s="8">
        <v>2268</v>
      </c>
      <c r="T70" s="8">
        <v>2064</v>
      </c>
      <c r="U70" s="8">
        <v>2064</v>
      </c>
      <c r="V70" s="8">
        <v>2064</v>
      </c>
      <c r="W70" s="8">
        <v>2064</v>
      </c>
      <c r="X70" s="8">
        <v>1872</v>
      </c>
      <c r="Y70" s="8">
        <v>1872</v>
      </c>
      <c r="Z70" s="8">
        <v>1872</v>
      </c>
      <c r="AA70" s="8">
        <v>1872</v>
      </c>
      <c r="AB70" s="8">
        <v>1872</v>
      </c>
      <c r="AC70" s="8">
        <v>1872</v>
      </c>
      <c r="AD70" s="8">
        <v>1872</v>
      </c>
      <c r="AE70" s="8">
        <v>1704</v>
      </c>
      <c r="AF70" s="8"/>
    </row>
    <row r="71" spans="1:32">
      <c r="A71" s="32" t="s">
        <v>359</v>
      </c>
      <c r="B71" s="8">
        <v>449</v>
      </c>
      <c r="C71" s="8">
        <v>449</v>
      </c>
      <c r="D71" s="8">
        <v>449</v>
      </c>
      <c r="E71" s="8">
        <v>449</v>
      </c>
      <c r="F71" s="8">
        <v>449</v>
      </c>
      <c r="G71" s="8">
        <v>449</v>
      </c>
      <c r="H71" s="8">
        <v>449</v>
      </c>
      <c r="I71" s="8">
        <v>449</v>
      </c>
      <c r="J71" s="8">
        <v>449</v>
      </c>
      <c r="K71" s="8">
        <v>449</v>
      </c>
      <c r="L71" s="8">
        <v>449</v>
      </c>
      <c r="M71" s="8">
        <v>449</v>
      </c>
      <c r="N71" s="8">
        <v>449</v>
      </c>
      <c r="O71" s="8">
        <v>449</v>
      </c>
      <c r="P71" s="8">
        <v>449</v>
      </c>
      <c r="Q71" s="8">
        <v>996</v>
      </c>
      <c r="R71" s="8">
        <v>996</v>
      </c>
      <c r="S71" s="8">
        <v>996</v>
      </c>
      <c r="T71" s="8">
        <v>900</v>
      </c>
      <c r="U71" s="8">
        <v>900</v>
      </c>
      <c r="V71" s="8">
        <v>900</v>
      </c>
      <c r="W71" s="8">
        <v>900</v>
      </c>
      <c r="X71" s="8">
        <v>816</v>
      </c>
      <c r="Y71" s="8">
        <v>816</v>
      </c>
      <c r="Z71" s="8">
        <v>816</v>
      </c>
      <c r="AA71" s="8">
        <v>816</v>
      </c>
      <c r="AB71" s="8">
        <v>816</v>
      </c>
      <c r="AC71" s="8">
        <v>816</v>
      </c>
      <c r="AD71" s="8">
        <v>816</v>
      </c>
      <c r="AE71" s="8">
        <v>720</v>
      </c>
      <c r="AF71" s="8"/>
    </row>
    <row r="72" spans="1:32">
      <c r="A72" s="31" t="s">
        <v>360</v>
      </c>
      <c r="B72" s="8">
        <v>859</v>
      </c>
      <c r="C72" s="8">
        <v>859</v>
      </c>
      <c r="D72" s="8">
        <v>859</v>
      </c>
      <c r="E72" s="8">
        <v>859</v>
      </c>
      <c r="F72" s="8">
        <v>859</v>
      </c>
      <c r="G72" s="8">
        <v>859</v>
      </c>
      <c r="H72" s="8">
        <v>859</v>
      </c>
      <c r="I72" s="8">
        <v>859</v>
      </c>
      <c r="J72" s="8">
        <v>859</v>
      </c>
      <c r="K72" s="8">
        <v>859</v>
      </c>
      <c r="L72" s="8">
        <v>859</v>
      </c>
      <c r="M72" s="8">
        <v>859</v>
      </c>
      <c r="N72" s="8">
        <v>859</v>
      </c>
      <c r="O72" s="8">
        <v>859</v>
      </c>
      <c r="P72" s="8">
        <v>859</v>
      </c>
      <c r="Q72" s="8">
        <v>1824</v>
      </c>
      <c r="R72" s="8">
        <v>1824</v>
      </c>
      <c r="S72" s="8">
        <v>1824</v>
      </c>
      <c r="T72" s="8">
        <v>1656</v>
      </c>
      <c r="U72" s="8">
        <v>1656</v>
      </c>
      <c r="V72" s="8">
        <v>1656</v>
      </c>
      <c r="W72" s="8">
        <v>1656</v>
      </c>
      <c r="X72" s="8">
        <v>1500</v>
      </c>
      <c r="Y72" s="8">
        <v>1500</v>
      </c>
      <c r="Z72" s="8">
        <v>1500</v>
      </c>
      <c r="AA72" s="8">
        <v>1500</v>
      </c>
      <c r="AB72" s="8">
        <v>1500</v>
      </c>
      <c r="AC72" s="8">
        <v>1500</v>
      </c>
      <c r="AD72" s="8">
        <v>1500</v>
      </c>
      <c r="AE72" s="8">
        <v>1380</v>
      </c>
      <c r="AF72" s="8"/>
    </row>
    <row r="73" spans="1:32">
      <c r="A73" s="31" t="s">
        <v>361</v>
      </c>
      <c r="B73" s="8">
        <v>1639</v>
      </c>
      <c r="C73" s="8">
        <v>1639</v>
      </c>
      <c r="D73" s="8">
        <v>1639</v>
      </c>
      <c r="E73" s="8">
        <v>1609</v>
      </c>
      <c r="F73" s="8">
        <v>1609</v>
      </c>
      <c r="G73" s="8">
        <v>1599</v>
      </c>
      <c r="H73" s="8">
        <v>1599</v>
      </c>
      <c r="I73" s="8">
        <v>1529</v>
      </c>
      <c r="J73" s="8">
        <v>1529</v>
      </c>
      <c r="K73" s="8">
        <v>1529</v>
      </c>
      <c r="L73" s="8">
        <v>1529</v>
      </c>
      <c r="M73" s="8">
        <v>1529</v>
      </c>
      <c r="N73" s="8">
        <v>1529</v>
      </c>
      <c r="O73" s="8">
        <v>1529</v>
      </c>
      <c r="P73" s="8">
        <v>1529</v>
      </c>
      <c r="Q73" s="8">
        <v>3240</v>
      </c>
      <c r="R73" s="8">
        <v>3240</v>
      </c>
      <c r="S73" s="8">
        <v>3240</v>
      </c>
      <c r="T73" s="8">
        <v>2940</v>
      </c>
      <c r="U73" s="8">
        <v>2940</v>
      </c>
      <c r="V73" s="8">
        <v>2940</v>
      </c>
      <c r="W73" s="8">
        <v>2940</v>
      </c>
      <c r="X73" s="8">
        <v>2676</v>
      </c>
      <c r="Y73" s="8">
        <v>2676</v>
      </c>
      <c r="Z73" s="8">
        <v>2676</v>
      </c>
      <c r="AA73" s="8">
        <v>2676</v>
      </c>
      <c r="AB73" s="8">
        <v>2676</v>
      </c>
      <c r="AC73" s="8">
        <v>2676</v>
      </c>
      <c r="AD73" s="8">
        <v>2676</v>
      </c>
      <c r="AE73" s="8">
        <v>2448</v>
      </c>
      <c r="AF73" s="8"/>
    </row>
    <row r="74" spans="1:32">
      <c r="A74" s="31" t="s">
        <v>362</v>
      </c>
      <c r="B74" s="8">
        <v>599</v>
      </c>
      <c r="C74" s="8">
        <v>599</v>
      </c>
      <c r="D74" s="8">
        <v>599</v>
      </c>
      <c r="E74" s="8">
        <v>599</v>
      </c>
      <c r="F74" s="8">
        <v>599</v>
      </c>
      <c r="G74" s="8">
        <v>599</v>
      </c>
      <c r="H74" s="8">
        <v>599</v>
      </c>
      <c r="I74" s="8">
        <v>599</v>
      </c>
      <c r="J74" s="8">
        <v>599</v>
      </c>
      <c r="K74" s="8">
        <v>599</v>
      </c>
      <c r="L74" s="8">
        <v>599</v>
      </c>
      <c r="M74" s="8">
        <v>599</v>
      </c>
      <c r="N74" s="8">
        <v>599</v>
      </c>
      <c r="O74" s="8">
        <v>599</v>
      </c>
      <c r="P74" s="8">
        <v>599</v>
      </c>
      <c r="Q74" s="8">
        <v>2448</v>
      </c>
      <c r="R74" s="8">
        <v>2448</v>
      </c>
      <c r="S74" s="8">
        <v>2448</v>
      </c>
      <c r="T74" s="8">
        <v>2220</v>
      </c>
      <c r="U74" s="8">
        <v>2220</v>
      </c>
      <c r="V74" s="8">
        <v>2220</v>
      </c>
      <c r="W74" s="8">
        <v>2220</v>
      </c>
      <c r="X74" s="8">
        <v>2016</v>
      </c>
      <c r="Y74" s="8">
        <v>2016</v>
      </c>
      <c r="Z74" s="8">
        <v>2016</v>
      </c>
      <c r="AA74" s="8">
        <v>2016</v>
      </c>
      <c r="AB74" s="8">
        <v>2016</v>
      </c>
      <c r="AC74" s="8">
        <v>2016</v>
      </c>
      <c r="AD74" s="8">
        <v>2016</v>
      </c>
      <c r="AE74" s="8">
        <v>2016</v>
      </c>
      <c r="AF74" s="8"/>
    </row>
    <row r="75" spans="1:32">
      <c r="A75" s="31" t="s">
        <v>363</v>
      </c>
      <c r="B75" s="8">
        <v>299</v>
      </c>
      <c r="C75" s="8">
        <v>299</v>
      </c>
      <c r="D75" s="8">
        <v>299</v>
      </c>
      <c r="E75" s="8">
        <v>299</v>
      </c>
      <c r="F75" s="8">
        <v>299</v>
      </c>
      <c r="G75" s="8">
        <v>299</v>
      </c>
      <c r="H75" s="8">
        <v>299</v>
      </c>
      <c r="I75" s="8">
        <v>299</v>
      </c>
      <c r="J75" s="8">
        <v>299</v>
      </c>
      <c r="K75" s="8">
        <v>299</v>
      </c>
      <c r="L75" s="8">
        <v>299</v>
      </c>
      <c r="M75" s="8">
        <v>299</v>
      </c>
      <c r="N75" s="8">
        <v>299</v>
      </c>
      <c r="O75" s="8">
        <v>299</v>
      </c>
      <c r="P75" s="8">
        <v>299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8"/>
    </row>
    <row r="76" spans="1:32">
      <c r="A76" s="31" t="s">
        <v>364</v>
      </c>
      <c r="B76" s="8">
        <v>1799</v>
      </c>
      <c r="C76" s="8">
        <v>1799</v>
      </c>
      <c r="D76" s="8">
        <v>1799</v>
      </c>
      <c r="E76" s="8">
        <v>1799</v>
      </c>
      <c r="F76" s="8">
        <v>1799</v>
      </c>
      <c r="G76" s="8">
        <v>1799</v>
      </c>
      <c r="H76" s="8">
        <v>1799</v>
      </c>
      <c r="I76" s="8">
        <v>1799</v>
      </c>
      <c r="J76" s="8">
        <v>1799</v>
      </c>
      <c r="K76" s="8">
        <v>1799</v>
      </c>
      <c r="L76" s="8">
        <v>1799</v>
      </c>
      <c r="M76" s="8">
        <v>1799</v>
      </c>
      <c r="N76" s="8">
        <v>1799</v>
      </c>
      <c r="O76" s="8">
        <v>1799</v>
      </c>
      <c r="P76" s="8">
        <v>1799</v>
      </c>
      <c r="Q76" s="8">
        <v>3804</v>
      </c>
      <c r="R76" s="8">
        <v>3804</v>
      </c>
      <c r="S76" s="8">
        <v>3804</v>
      </c>
      <c r="T76" s="8">
        <v>3456</v>
      </c>
      <c r="U76" s="8">
        <v>3456</v>
      </c>
      <c r="V76" s="8">
        <v>3456</v>
      </c>
      <c r="W76" s="8">
        <v>3456</v>
      </c>
      <c r="X76" s="8">
        <v>3144</v>
      </c>
      <c r="Y76" s="8">
        <v>3144</v>
      </c>
      <c r="Z76" s="8">
        <v>3144</v>
      </c>
      <c r="AA76" s="8">
        <v>3144</v>
      </c>
      <c r="AB76" s="8">
        <v>3144</v>
      </c>
      <c r="AC76" s="8">
        <v>3144</v>
      </c>
      <c r="AD76" s="8">
        <v>3144</v>
      </c>
      <c r="AE76" s="8">
        <v>2880</v>
      </c>
      <c r="AF76" s="8"/>
    </row>
    <row r="77" spans="1:32">
      <c r="A77" s="31" t="s">
        <v>365</v>
      </c>
      <c r="B77" s="8">
        <v>1999</v>
      </c>
      <c r="C77" s="8">
        <v>1999</v>
      </c>
      <c r="D77" s="8">
        <v>1999</v>
      </c>
      <c r="E77" s="8">
        <v>1999</v>
      </c>
      <c r="F77" s="8">
        <v>1999</v>
      </c>
      <c r="G77" s="8">
        <v>1999</v>
      </c>
      <c r="H77" s="8">
        <v>1999</v>
      </c>
      <c r="I77" s="8">
        <v>1999</v>
      </c>
      <c r="J77" s="8">
        <v>1999</v>
      </c>
      <c r="K77" s="8">
        <v>1999</v>
      </c>
      <c r="L77" s="8">
        <v>1999</v>
      </c>
      <c r="M77" s="8">
        <v>1999</v>
      </c>
      <c r="N77" s="8">
        <v>1999</v>
      </c>
      <c r="O77" s="8">
        <v>1999</v>
      </c>
      <c r="P77" s="8">
        <v>1999</v>
      </c>
      <c r="Q77" s="8">
        <v>4236</v>
      </c>
      <c r="R77" s="8">
        <v>4236</v>
      </c>
      <c r="S77" s="8">
        <v>4236</v>
      </c>
      <c r="T77" s="8">
        <v>3852</v>
      </c>
      <c r="U77" s="8">
        <v>3852</v>
      </c>
      <c r="V77" s="8">
        <v>3852</v>
      </c>
      <c r="W77" s="8">
        <v>3852</v>
      </c>
      <c r="X77" s="8">
        <v>3504</v>
      </c>
      <c r="Y77" s="8">
        <v>3504</v>
      </c>
      <c r="Z77" s="8">
        <v>3504</v>
      </c>
      <c r="AA77" s="8">
        <v>3504</v>
      </c>
      <c r="AB77" s="8">
        <v>3504</v>
      </c>
      <c r="AC77" s="8">
        <v>3504</v>
      </c>
      <c r="AD77" s="8">
        <v>3504</v>
      </c>
      <c r="AE77" s="8">
        <v>3204</v>
      </c>
      <c r="AF77" s="8"/>
    </row>
    <row r="78" spans="1:32">
      <c r="A78" s="31" t="s">
        <v>366</v>
      </c>
      <c r="B78" s="8">
        <v>899</v>
      </c>
      <c r="C78" s="8">
        <v>899</v>
      </c>
      <c r="D78" s="8">
        <v>899</v>
      </c>
      <c r="E78" s="8">
        <v>899</v>
      </c>
      <c r="F78" s="8">
        <v>899</v>
      </c>
      <c r="G78" s="8">
        <v>899</v>
      </c>
      <c r="H78" s="8">
        <v>899</v>
      </c>
      <c r="I78" s="8">
        <v>899</v>
      </c>
      <c r="J78" s="8">
        <v>899</v>
      </c>
      <c r="K78" s="8">
        <v>899</v>
      </c>
      <c r="L78" s="8">
        <v>899</v>
      </c>
      <c r="M78" s="8">
        <v>899</v>
      </c>
      <c r="N78" s="8">
        <v>899</v>
      </c>
      <c r="O78" s="8">
        <v>899</v>
      </c>
      <c r="P78" s="8">
        <v>899</v>
      </c>
      <c r="Q78" s="8">
        <v>1896</v>
      </c>
      <c r="R78" s="8">
        <v>1896</v>
      </c>
      <c r="S78" s="8">
        <v>1896</v>
      </c>
      <c r="T78" s="8">
        <v>1728</v>
      </c>
      <c r="U78" s="8">
        <v>1728</v>
      </c>
      <c r="V78" s="8">
        <v>1728</v>
      </c>
      <c r="W78" s="8">
        <v>1728</v>
      </c>
      <c r="X78" s="8">
        <v>1572</v>
      </c>
      <c r="Y78" s="8">
        <v>1572</v>
      </c>
      <c r="Z78" s="8">
        <v>1572</v>
      </c>
      <c r="AA78" s="8">
        <v>1572</v>
      </c>
      <c r="AB78" s="8">
        <v>1572</v>
      </c>
      <c r="AC78" s="8">
        <v>1572</v>
      </c>
      <c r="AD78" s="8">
        <v>1572</v>
      </c>
      <c r="AE78" s="8">
        <v>1440</v>
      </c>
      <c r="AF78" s="8"/>
    </row>
    <row r="79" spans="1:32">
      <c r="A79" s="31" t="s">
        <v>367</v>
      </c>
      <c r="B79" s="8">
        <v>699</v>
      </c>
      <c r="C79" s="8">
        <v>699</v>
      </c>
      <c r="D79" s="8">
        <v>699</v>
      </c>
      <c r="E79" s="8">
        <v>699</v>
      </c>
      <c r="F79" s="8">
        <v>699</v>
      </c>
      <c r="G79" s="8">
        <v>699</v>
      </c>
      <c r="H79" s="8">
        <v>699</v>
      </c>
      <c r="I79" s="8">
        <v>699</v>
      </c>
      <c r="J79" s="8">
        <v>699</v>
      </c>
      <c r="K79" s="8">
        <v>699</v>
      </c>
      <c r="L79" s="8">
        <v>699</v>
      </c>
      <c r="M79" s="8">
        <v>699</v>
      </c>
      <c r="N79" s="8">
        <v>699</v>
      </c>
      <c r="O79" s="8">
        <v>699</v>
      </c>
      <c r="P79" s="8">
        <v>699</v>
      </c>
      <c r="Q79" s="8">
        <v>1560</v>
      </c>
      <c r="R79" s="8">
        <v>1560</v>
      </c>
      <c r="S79" s="8">
        <v>1560</v>
      </c>
      <c r="T79" s="8">
        <v>1416</v>
      </c>
      <c r="U79" s="8">
        <v>1416</v>
      </c>
      <c r="V79" s="8">
        <v>1416</v>
      </c>
      <c r="W79" s="8">
        <v>1416</v>
      </c>
      <c r="X79" s="8">
        <v>1284</v>
      </c>
      <c r="Y79" s="8">
        <v>1284</v>
      </c>
      <c r="Z79" s="8">
        <v>1284</v>
      </c>
      <c r="AA79" s="8">
        <v>1284</v>
      </c>
      <c r="AB79" s="8">
        <v>1284</v>
      </c>
      <c r="AC79" s="8">
        <v>1284</v>
      </c>
      <c r="AD79" s="8">
        <v>1284</v>
      </c>
      <c r="AE79" s="8">
        <v>1116</v>
      </c>
      <c r="AF79" s="8"/>
    </row>
    <row r="80" spans="1:32">
      <c r="A80" s="31" t="s">
        <v>368</v>
      </c>
      <c r="B80" s="8">
        <v>1709</v>
      </c>
      <c r="C80" s="8">
        <v>1709</v>
      </c>
      <c r="D80" s="8">
        <v>1709</v>
      </c>
      <c r="E80" s="8">
        <v>1689</v>
      </c>
      <c r="F80" s="8">
        <v>1689</v>
      </c>
      <c r="G80" s="8">
        <v>1669</v>
      </c>
      <c r="H80" s="8">
        <v>1669</v>
      </c>
      <c r="I80" s="8">
        <v>1599</v>
      </c>
      <c r="J80" s="8">
        <v>1599</v>
      </c>
      <c r="K80" s="8">
        <v>1599</v>
      </c>
      <c r="L80" s="8">
        <v>1599</v>
      </c>
      <c r="M80" s="8">
        <v>1599</v>
      </c>
      <c r="N80" s="8">
        <v>1599</v>
      </c>
      <c r="O80" s="8">
        <v>1599</v>
      </c>
      <c r="P80" s="8">
        <v>1599</v>
      </c>
      <c r="Q80" s="8">
        <v>3240</v>
      </c>
      <c r="R80" s="8">
        <v>3240</v>
      </c>
      <c r="S80" s="8">
        <v>3240</v>
      </c>
      <c r="T80" s="8">
        <v>2940</v>
      </c>
      <c r="U80" s="8">
        <v>2940</v>
      </c>
      <c r="V80" s="8">
        <v>2940</v>
      </c>
      <c r="W80" s="8">
        <v>2940</v>
      </c>
      <c r="X80" s="8">
        <v>2676</v>
      </c>
      <c r="Y80" s="8">
        <v>2676</v>
      </c>
      <c r="Z80" s="8">
        <v>2676</v>
      </c>
      <c r="AA80" s="8">
        <v>2676</v>
      </c>
      <c r="AB80" s="8">
        <v>2676</v>
      </c>
      <c r="AC80" s="8">
        <v>2676</v>
      </c>
      <c r="AD80" s="8">
        <v>2676</v>
      </c>
      <c r="AE80" s="8">
        <v>2436</v>
      </c>
      <c r="AF80" s="8"/>
    </row>
    <row r="81" spans="1:32">
      <c r="A81" s="31" t="s">
        <v>369</v>
      </c>
      <c r="B81" s="8">
        <v>389</v>
      </c>
      <c r="C81" s="8">
        <v>389</v>
      </c>
      <c r="D81" s="8">
        <v>389</v>
      </c>
      <c r="E81" s="8">
        <v>379</v>
      </c>
      <c r="F81" s="8">
        <v>379</v>
      </c>
      <c r="G81" s="8">
        <v>379</v>
      </c>
      <c r="H81" s="8">
        <v>379</v>
      </c>
      <c r="I81" s="8">
        <v>359</v>
      </c>
      <c r="J81" s="8">
        <v>359</v>
      </c>
      <c r="K81" s="8">
        <v>359</v>
      </c>
      <c r="L81" s="8">
        <v>359</v>
      </c>
      <c r="M81" s="8">
        <v>359</v>
      </c>
      <c r="N81" s="8">
        <v>359</v>
      </c>
      <c r="O81" s="8">
        <v>359</v>
      </c>
      <c r="P81" s="8">
        <v>329</v>
      </c>
      <c r="Q81" s="8">
        <v>780</v>
      </c>
      <c r="R81" s="8">
        <v>780</v>
      </c>
      <c r="S81" s="8">
        <v>780</v>
      </c>
      <c r="T81" s="8">
        <v>708</v>
      </c>
      <c r="U81" s="8">
        <v>708</v>
      </c>
      <c r="V81" s="8">
        <v>708</v>
      </c>
      <c r="W81" s="8">
        <v>708</v>
      </c>
      <c r="X81" s="8">
        <v>648</v>
      </c>
      <c r="Y81" s="8">
        <v>648</v>
      </c>
      <c r="Z81" s="8">
        <v>648</v>
      </c>
      <c r="AA81" s="8">
        <v>648</v>
      </c>
      <c r="AB81" s="8">
        <v>648</v>
      </c>
      <c r="AC81" s="8">
        <v>648</v>
      </c>
      <c r="AD81" s="8">
        <v>648</v>
      </c>
      <c r="AE81" s="8">
        <v>648</v>
      </c>
      <c r="AF81" s="8"/>
    </row>
    <row r="82" spans="1:32">
      <c r="A82" s="31" t="s">
        <v>370</v>
      </c>
      <c r="B82" s="8">
        <v>909</v>
      </c>
      <c r="C82" s="8">
        <v>909</v>
      </c>
      <c r="D82" s="8">
        <v>909</v>
      </c>
      <c r="E82" s="8">
        <v>909</v>
      </c>
      <c r="F82" s="8">
        <v>909</v>
      </c>
      <c r="G82" s="8">
        <v>909</v>
      </c>
      <c r="H82" s="8">
        <v>909</v>
      </c>
      <c r="I82" s="8">
        <v>909</v>
      </c>
      <c r="J82" s="8">
        <v>909</v>
      </c>
      <c r="K82" s="8">
        <v>909</v>
      </c>
      <c r="L82" s="8">
        <v>909</v>
      </c>
      <c r="M82" s="8">
        <v>909</v>
      </c>
      <c r="N82" s="8">
        <v>909</v>
      </c>
      <c r="O82" s="8">
        <v>909</v>
      </c>
      <c r="P82" s="8">
        <v>909</v>
      </c>
      <c r="Q82" s="8">
        <v>2928</v>
      </c>
      <c r="R82" s="8">
        <v>2928</v>
      </c>
      <c r="S82" s="8">
        <v>2928</v>
      </c>
      <c r="T82" s="8">
        <v>2664</v>
      </c>
      <c r="U82" s="8">
        <v>2664</v>
      </c>
      <c r="V82" s="8">
        <v>2664</v>
      </c>
      <c r="W82" s="8">
        <v>2664</v>
      </c>
      <c r="X82" s="8">
        <v>2424</v>
      </c>
      <c r="Y82" s="8">
        <v>2424</v>
      </c>
      <c r="Z82" s="8">
        <v>2424</v>
      </c>
      <c r="AA82" s="8">
        <v>2424</v>
      </c>
      <c r="AB82" s="8">
        <v>2424</v>
      </c>
      <c r="AC82" s="8">
        <v>2424</v>
      </c>
      <c r="AD82" s="8">
        <v>2424</v>
      </c>
      <c r="AE82" s="8">
        <v>2028</v>
      </c>
      <c r="AF82" s="8"/>
    </row>
    <row r="83" spans="1:32">
      <c r="A83" s="31" t="s">
        <v>371</v>
      </c>
      <c r="B83" s="8">
        <v>2999</v>
      </c>
      <c r="C83" s="8">
        <v>2999</v>
      </c>
      <c r="D83" s="8">
        <v>2999</v>
      </c>
      <c r="E83" s="8">
        <v>2999</v>
      </c>
      <c r="F83" s="8">
        <v>2999</v>
      </c>
      <c r="G83" s="8">
        <v>2999</v>
      </c>
      <c r="H83" s="8">
        <v>2999</v>
      </c>
      <c r="I83" s="8">
        <v>2999</v>
      </c>
      <c r="J83" s="8">
        <v>2999</v>
      </c>
      <c r="K83" s="8">
        <v>2999</v>
      </c>
      <c r="L83" s="8">
        <v>2999</v>
      </c>
      <c r="M83" s="8">
        <v>2999</v>
      </c>
      <c r="N83" s="8">
        <v>2999</v>
      </c>
      <c r="O83" s="8">
        <v>2999</v>
      </c>
      <c r="P83" s="8">
        <v>2999</v>
      </c>
      <c r="Q83" s="8">
        <v>6384</v>
      </c>
      <c r="R83" s="8">
        <v>6384</v>
      </c>
      <c r="S83" s="8">
        <v>6384</v>
      </c>
      <c r="T83" s="8">
        <v>5808</v>
      </c>
      <c r="U83" s="8">
        <v>5808</v>
      </c>
      <c r="V83" s="8">
        <v>5808</v>
      </c>
      <c r="W83" s="8">
        <v>5808</v>
      </c>
      <c r="X83" s="8">
        <v>5280</v>
      </c>
      <c r="Y83" s="8">
        <v>5280</v>
      </c>
      <c r="Z83" s="8">
        <v>5280</v>
      </c>
      <c r="AA83" s="8">
        <v>5280</v>
      </c>
      <c r="AB83" s="8">
        <v>5280</v>
      </c>
      <c r="AC83" s="8">
        <v>5280</v>
      </c>
      <c r="AD83" s="8">
        <v>5280</v>
      </c>
      <c r="AE83" s="8">
        <v>4908</v>
      </c>
      <c r="AF83" s="9"/>
    </row>
    <row r="84" spans="1:32">
      <c r="A84" s="31" t="s">
        <v>372</v>
      </c>
      <c r="B84" s="8">
        <v>969</v>
      </c>
      <c r="C84" s="8">
        <v>969</v>
      </c>
      <c r="D84" s="8">
        <v>969</v>
      </c>
      <c r="E84" s="8">
        <v>969</v>
      </c>
      <c r="F84" s="8">
        <v>969</v>
      </c>
      <c r="G84" s="8">
        <v>969</v>
      </c>
      <c r="H84" s="8">
        <v>969</v>
      </c>
      <c r="I84" s="8">
        <v>949</v>
      </c>
      <c r="J84" s="8">
        <v>949</v>
      </c>
      <c r="K84" s="8">
        <v>949</v>
      </c>
      <c r="L84" s="8">
        <v>949</v>
      </c>
      <c r="M84" s="8">
        <v>949</v>
      </c>
      <c r="N84" s="8">
        <v>949</v>
      </c>
      <c r="O84" s="8">
        <v>949</v>
      </c>
      <c r="P84" s="8">
        <v>949</v>
      </c>
      <c r="Q84" s="8">
        <v>2112</v>
      </c>
      <c r="R84" s="8">
        <v>2112</v>
      </c>
      <c r="S84" s="8">
        <v>2112</v>
      </c>
      <c r="T84" s="8">
        <v>1920</v>
      </c>
      <c r="U84" s="8">
        <v>1920</v>
      </c>
      <c r="V84" s="8">
        <v>1920</v>
      </c>
      <c r="W84" s="8">
        <v>1920</v>
      </c>
      <c r="X84" s="8">
        <v>1740</v>
      </c>
      <c r="Y84" s="8">
        <v>1740</v>
      </c>
      <c r="Z84" s="8">
        <v>1740</v>
      </c>
      <c r="AA84" s="8">
        <v>1740</v>
      </c>
      <c r="AB84" s="8">
        <v>1740</v>
      </c>
      <c r="AC84" s="8">
        <v>1740</v>
      </c>
      <c r="AD84" s="8">
        <v>1740</v>
      </c>
      <c r="AE84" s="8">
        <v>1524</v>
      </c>
      <c r="AF84" s="8"/>
    </row>
    <row r="85" spans="1:32">
      <c r="A85" s="31" t="s">
        <v>373</v>
      </c>
      <c r="B85" s="8">
        <v>349</v>
      </c>
      <c r="C85" s="8">
        <v>349</v>
      </c>
      <c r="D85" s="8">
        <v>349</v>
      </c>
      <c r="E85" s="8">
        <v>349</v>
      </c>
      <c r="F85" s="8">
        <v>349</v>
      </c>
      <c r="G85" s="8">
        <v>349</v>
      </c>
      <c r="H85" s="8">
        <v>349</v>
      </c>
      <c r="I85" s="8">
        <v>349</v>
      </c>
      <c r="J85" s="8">
        <v>349</v>
      </c>
      <c r="K85" s="8">
        <v>349</v>
      </c>
      <c r="L85" s="8">
        <v>349</v>
      </c>
      <c r="M85" s="8">
        <v>349</v>
      </c>
      <c r="N85" s="8">
        <v>349</v>
      </c>
      <c r="O85" s="8">
        <v>349</v>
      </c>
      <c r="P85" s="8">
        <v>349</v>
      </c>
      <c r="Q85" s="8">
        <v>780</v>
      </c>
      <c r="R85" s="8">
        <v>780</v>
      </c>
      <c r="S85" s="8">
        <v>780</v>
      </c>
      <c r="T85" s="8">
        <v>708</v>
      </c>
      <c r="U85" s="8">
        <v>708</v>
      </c>
      <c r="V85" s="8">
        <v>708</v>
      </c>
      <c r="W85" s="8">
        <v>708</v>
      </c>
      <c r="X85" s="8">
        <v>648</v>
      </c>
      <c r="Y85" s="8">
        <v>648</v>
      </c>
      <c r="Z85" s="8">
        <v>648</v>
      </c>
      <c r="AA85" s="8">
        <v>648</v>
      </c>
      <c r="AB85" s="8">
        <v>648</v>
      </c>
      <c r="AC85" s="8">
        <v>648</v>
      </c>
      <c r="AD85" s="8">
        <v>648</v>
      </c>
      <c r="AE85" s="8">
        <v>564</v>
      </c>
      <c r="AF85" s="8"/>
    </row>
    <row r="86" spans="1:32">
      <c r="A86" s="31" t="s">
        <v>374</v>
      </c>
      <c r="B86" s="8">
        <v>1699</v>
      </c>
      <c r="C86" s="8">
        <v>1699</v>
      </c>
      <c r="D86" s="8">
        <v>1699</v>
      </c>
      <c r="E86" s="8">
        <v>1699</v>
      </c>
      <c r="F86" s="8">
        <v>1699</v>
      </c>
      <c r="G86" s="8">
        <v>1699</v>
      </c>
      <c r="H86" s="8">
        <v>1699</v>
      </c>
      <c r="I86" s="8">
        <v>1699</v>
      </c>
      <c r="J86" s="8">
        <v>1699</v>
      </c>
      <c r="K86" s="8">
        <v>1699</v>
      </c>
      <c r="L86" s="8">
        <v>1699</v>
      </c>
      <c r="M86" s="8">
        <v>1699</v>
      </c>
      <c r="N86" s="8">
        <v>1699</v>
      </c>
      <c r="O86" s="8">
        <v>1699</v>
      </c>
      <c r="P86" s="8">
        <v>1699</v>
      </c>
      <c r="Q86" s="8">
        <v>3600</v>
      </c>
      <c r="R86" s="8">
        <v>3600</v>
      </c>
      <c r="S86" s="8">
        <v>3600</v>
      </c>
      <c r="T86" s="8">
        <v>3276</v>
      </c>
      <c r="U86" s="8">
        <v>3276</v>
      </c>
      <c r="V86" s="8">
        <v>3276</v>
      </c>
      <c r="W86" s="8">
        <v>3276</v>
      </c>
      <c r="X86" s="8">
        <v>2976</v>
      </c>
      <c r="Y86" s="8">
        <v>2976</v>
      </c>
      <c r="Z86" s="8">
        <v>2976</v>
      </c>
      <c r="AA86" s="8">
        <v>2976</v>
      </c>
      <c r="AB86" s="8">
        <v>2976</v>
      </c>
      <c r="AC86" s="8">
        <v>2976</v>
      </c>
      <c r="AD86" s="8">
        <v>2976</v>
      </c>
      <c r="AE86" s="8">
        <v>2724</v>
      </c>
      <c r="AF86" s="8"/>
    </row>
    <row r="87" spans="1:32">
      <c r="A87" s="31" t="s">
        <v>375</v>
      </c>
      <c r="B87" s="8">
        <v>599</v>
      </c>
      <c r="C87" s="8">
        <v>599</v>
      </c>
      <c r="D87" s="8">
        <v>599</v>
      </c>
      <c r="E87" s="8">
        <v>599</v>
      </c>
      <c r="F87" s="8">
        <v>599</v>
      </c>
      <c r="G87" s="8">
        <v>599</v>
      </c>
      <c r="H87" s="8">
        <v>599</v>
      </c>
      <c r="I87" s="8">
        <v>599</v>
      </c>
      <c r="J87" s="8">
        <v>599</v>
      </c>
      <c r="K87" s="8">
        <v>599</v>
      </c>
      <c r="L87" s="8">
        <v>599</v>
      </c>
      <c r="M87" s="8">
        <v>599</v>
      </c>
      <c r="N87" s="8">
        <v>599</v>
      </c>
      <c r="O87" s="8">
        <v>599</v>
      </c>
      <c r="P87" s="8">
        <v>599</v>
      </c>
      <c r="Q87" s="8">
        <v>1344</v>
      </c>
      <c r="R87" s="8">
        <v>1344</v>
      </c>
      <c r="S87" s="8">
        <v>1344</v>
      </c>
      <c r="T87" s="8">
        <v>1224</v>
      </c>
      <c r="U87" s="8">
        <v>1224</v>
      </c>
      <c r="V87" s="8">
        <v>1224</v>
      </c>
      <c r="W87" s="8">
        <v>1224</v>
      </c>
      <c r="X87" s="8">
        <v>1116</v>
      </c>
      <c r="Y87" s="8">
        <v>1116</v>
      </c>
      <c r="Z87" s="8">
        <v>1116</v>
      </c>
      <c r="AA87" s="8">
        <v>1116</v>
      </c>
      <c r="AB87" s="8">
        <v>1116</v>
      </c>
      <c r="AC87" s="8">
        <v>1116</v>
      </c>
      <c r="AD87" s="8">
        <v>1116</v>
      </c>
      <c r="AE87" s="8">
        <v>960</v>
      </c>
      <c r="AF87" s="8"/>
    </row>
    <row r="88" spans="1:32">
      <c r="A88" s="31" t="s">
        <v>376</v>
      </c>
      <c r="B88" s="8">
        <v>699</v>
      </c>
      <c r="C88" s="8">
        <v>699</v>
      </c>
      <c r="D88" s="8">
        <v>699</v>
      </c>
      <c r="E88" s="8">
        <v>699</v>
      </c>
      <c r="F88" s="8">
        <v>699</v>
      </c>
      <c r="G88" s="8">
        <v>699</v>
      </c>
      <c r="H88" s="8">
        <v>699</v>
      </c>
      <c r="I88" s="8">
        <v>699</v>
      </c>
      <c r="J88" s="8">
        <v>699</v>
      </c>
      <c r="K88" s="8">
        <v>699</v>
      </c>
      <c r="L88" s="8">
        <v>699</v>
      </c>
      <c r="M88" s="8">
        <v>699</v>
      </c>
      <c r="N88" s="8">
        <v>699</v>
      </c>
      <c r="O88" s="8">
        <v>699</v>
      </c>
      <c r="P88" s="8">
        <v>699</v>
      </c>
      <c r="Q88" s="8">
        <v>1584</v>
      </c>
      <c r="R88" s="8">
        <v>1584</v>
      </c>
      <c r="S88" s="8">
        <v>1584</v>
      </c>
      <c r="T88" s="8">
        <v>1440</v>
      </c>
      <c r="U88" s="8">
        <v>1440</v>
      </c>
      <c r="V88" s="8">
        <v>1440</v>
      </c>
      <c r="W88" s="8">
        <v>1440</v>
      </c>
      <c r="X88" s="8">
        <v>1308</v>
      </c>
      <c r="Y88" s="8">
        <v>1308</v>
      </c>
      <c r="Z88" s="8">
        <v>1308</v>
      </c>
      <c r="AA88" s="8">
        <v>1308</v>
      </c>
      <c r="AB88" s="8">
        <v>1308</v>
      </c>
      <c r="AC88" s="8">
        <v>1308</v>
      </c>
      <c r="AD88" s="8">
        <v>1308</v>
      </c>
      <c r="AE88" s="8">
        <v>1116</v>
      </c>
      <c r="AF88" s="8"/>
    </row>
    <row r="89" spans="1:32">
      <c r="A89" s="31" t="s">
        <v>377</v>
      </c>
      <c r="B89" s="8">
        <v>899</v>
      </c>
      <c r="C89" s="8">
        <v>899</v>
      </c>
      <c r="D89" s="8">
        <v>899</v>
      </c>
      <c r="E89" s="8">
        <v>899</v>
      </c>
      <c r="F89" s="8">
        <v>899</v>
      </c>
      <c r="G89" s="8">
        <v>899</v>
      </c>
      <c r="H89" s="8">
        <v>899</v>
      </c>
      <c r="I89" s="8">
        <v>899</v>
      </c>
      <c r="J89" s="8">
        <v>899</v>
      </c>
      <c r="K89" s="8">
        <v>899</v>
      </c>
      <c r="L89" s="8">
        <v>899</v>
      </c>
      <c r="M89" s="8">
        <v>899</v>
      </c>
      <c r="N89" s="8">
        <v>899</v>
      </c>
      <c r="O89" s="8">
        <v>899</v>
      </c>
      <c r="P89" s="8">
        <v>899</v>
      </c>
      <c r="Q89" s="8">
        <v>1992</v>
      </c>
      <c r="R89" s="8">
        <v>1992</v>
      </c>
      <c r="S89" s="8">
        <v>1992</v>
      </c>
      <c r="T89" s="8">
        <v>1812</v>
      </c>
      <c r="U89" s="8">
        <v>1812</v>
      </c>
      <c r="V89" s="8">
        <v>1812</v>
      </c>
      <c r="W89" s="8">
        <v>1812</v>
      </c>
      <c r="X89" s="8">
        <v>1644</v>
      </c>
      <c r="Y89" s="8">
        <v>1644</v>
      </c>
      <c r="Z89" s="8">
        <v>1644</v>
      </c>
      <c r="AA89" s="8">
        <v>1644</v>
      </c>
      <c r="AB89" s="8">
        <v>1644</v>
      </c>
      <c r="AC89" s="8">
        <v>1644</v>
      </c>
      <c r="AD89" s="8">
        <v>1644</v>
      </c>
      <c r="AE89" s="8">
        <v>1440</v>
      </c>
      <c r="AF89" s="8"/>
    </row>
    <row r="90" spans="1:32">
      <c r="A90" s="31" t="s">
        <v>378</v>
      </c>
      <c r="B90" s="8">
        <v>439</v>
      </c>
      <c r="C90" s="8">
        <v>439</v>
      </c>
      <c r="D90" s="8">
        <v>439</v>
      </c>
      <c r="E90" s="8">
        <v>429</v>
      </c>
      <c r="F90" s="8">
        <v>429</v>
      </c>
      <c r="G90" s="8">
        <v>429</v>
      </c>
      <c r="H90" s="8">
        <v>429</v>
      </c>
      <c r="I90" s="8">
        <v>409</v>
      </c>
      <c r="J90" s="8">
        <v>409</v>
      </c>
      <c r="K90" s="8">
        <v>409</v>
      </c>
      <c r="L90" s="8">
        <v>409</v>
      </c>
      <c r="M90" s="8">
        <v>399</v>
      </c>
      <c r="N90" s="8">
        <v>399</v>
      </c>
      <c r="O90" s="8">
        <v>399</v>
      </c>
      <c r="P90" s="8">
        <v>399</v>
      </c>
      <c r="Q90" s="8">
        <v>912</v>
      </c>
      <c r="R90" s="8">
        <v>912</v>
      </c>
      <c r="S90" s="8">
        <v>912</v>
      </c>
      <c r="T90" s="8">
        <v>828</v>
      </c>
      <c r="U90" s="8">
        <v>828</v>
      </c>
      <c r="V90" s="8">
        <v>828</v>
      </c>
      <c r="W90" s="8">
        <v>828</v>
      </c>
      <c r="X90" s="8">
        <v>756</v>
      </c>
      <c r="Y90" s="8">
        <v>756</v>
      </c>
      <c r="Z90" s="8">
        <v>756</v>
      </c>
      <c r="AA90" s="8">
        <v>756</v>
      </c>
      <c r="AB90" s="8">
        <v>756</v>
      </c>
      <c r="AC90" s="8">
        <v>756</v>
      </c>
      <c r="AD90" s="8">
        <v>756</v>
      </c>
      <c r="AE90" s="8">
        <v>636</v>
      </c>
      <c r="AF90" s="8"/>
    </row>
    <row r="91" spans="1:32">
      <c r="A91" s="31" t="s">
        <v>379</v>
      </c>
      <c r="B91" s="8">
        <v>3749</v>
      </c>
      <c r="C91" s="8">
        <v>3749</v>
      </c>
      <c r="D91" s="8">
        <v>3749</v>
      </c>
      <c r="E91" s="8">
        <v>3229</v>
      </c>
      <c r="F91" s="8">
        <v>3229</v>
      </c>
      <c r="G91" s="8">
        <v>3229</v>
      </c>
      <c r="H91" s="8">
        <v>3229</v>
      </c>
      <c r="I91" s="8">
        <v>2939</v>
      </c>
      <c r="J91" s="8">
        <v>2939</v>
      </c>
      <c r="K91" s="8">
        <v>2939</v>
      </c>
      <c r="L91" s="8">
        <v>2939</v>
      </c>
      <c r="M91" s="8">
        <v>2939</v>
      </c>
      <c r="N91" s="8">
        <v>2939</v>
      </c>
      <c r="O91" s="8">
        <v>2939</v>
      </c>
      <c r="P91" s="8">
        <v>2939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8">
        <v>4992</v>
      </c>
      <c r="Y91" s="8">
        <v>4992</v>
      </c>
      <c r="Z91" s="8">
        <v>4992</v>
      </c>
      <c r="AA91" s="8">
        <v>4992</v>
      </c>
      <c r="AB91" s="8">
        <v>4992</v>
      </c>
      <c r="AC91" s="8">
        <v>4992</v>
      </c>
      <c r="AD91" s="8">
        <v>4992</v>
      </c>
      <c r="AE91" s="8">
        <v>4704</v>
      </c>
      <c r="AF91" s="8"/>
    </row>
    <row r="92" spans="1:32">
      <c r="A92" s="31" t="s">
        <v>380</v>
      </c>
      <c r="B92" s="8">
        <v>4119</v>
      </c>
      <c r="C92" s="8">
        <v>4119</v>
      </c>
      <c r="D92" s="8">
        <v>4119</v>
      </c>
      <c r="E92" s="8">
        <v>4119</v>
      </c>
      <c r="F92" s="8">
        <v>4119</v>
      </c>
      <c r="G92" s="8">
        <v>4119</v>
      </c>
      <c r="H92" s="8">
        <v>4119</v>
      </c>
      <c r="I92" s="8">
        <v>4119</v>
      </c>
      <c r="J92" s="8">
        <v>4119</v>
      </c>
      <c r="K92" s="8">
        <v>4119</v>
      </c>
      <c r="L92" s="8">
        <v>4119</v>
      </c>
      <c r="M92" s="8">
        <v>4119</v>
      </c>
      <c r="N92" s="8">
        <v>4119</v>
      </c>
      <c r="O92" s="8">
        <v>4119</v>
      </c>
      <c r="P92" s="8">
        <v>4119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8">
        <v>7008</v>
      </c>
      <c r="Y92" s="8">
        <v>7008</v>
      </c>
      <c r="Z92" s="8">
        <v>7008</v>
      </c>
      <c r="AA92" s="8">
        <v>7008</v>
      </c>
      <c r="AB92" s="8">
        <v>7008</v>
      </c>
      <c r="AC92" s="8">
        <v>7008</v>
      </c>
      <c r="AD92" s="8">
        <v>7008</v>
      </c>
      <c r="AE92" s="8">
        <v>6588</v>
      </c>
      <c r="AF92" s="8"/>
    </row>
    <row r="93" spans="1:32">
      <c r="A93" s="31" t="s">
        <v>381</v>
      </c>
      <c r="B93" s="8">
        <v>6929</v>
      </c>
      <c r="C93" s="8">
        <v>6929</v>
      </c>
      <c r="D93" s="8">
        <v>6929</v>
      </c>
      <c r="E93" s="8">
        <v>5859</v>
      </c>
      <c r="F93" s="8">
        <v>5859</v>
      </c>
      <c r="G93" s="8">
        <v>5859</v>
      </c>
      <c r="H93" s="8">
        <v>5859</v>
      </c>
      <c r="I93" s="8">
        <v>5169</v>
      </c>
      <c r="J93" s="8">
        <v>5169</v>
      </c>
      <c r="K93" s="8">
        <v>5169</v>
      </c>
      <c r="L93" s="8">
        <v>5169</v>
      </c>
      <c r="M93" s="8">
        <v>5169</v>
      </c>
      <c r="N93" s="8">
        <v>5169</v>
      </c>
      <c r="O93" s="8">
        <v>5169</v>
      </c>
      <c r="P93" s="8">
        <v>5169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8">
        <v>8784</v>
      </c>
      <c r="Y93" s="8">
        <v>8784</v>
      </c>
      <c r="Z93" s="8">
        <v>8784</v>
      </c>
      <c r="AA93" s="8">
        <v>8784</v>
      </c>
      <c r="AB93" s="8">
        <v>8784</v>
      </c>
      <c r="AC93" s="8">
        <v>8784</v>
      </c>
      <c r="AD93" s="8">
        <v>8784</v>
      </c>
      <c r="AE93" s="8">
        <v>8268</v>
      </c>
      <c r="AF93" s="8"/>
    </row>
    <row r="94" spans="1:32">
      <c r="A94" s="31" t="s">
        <v>382</v>
      </c>
      <c r="B94" s="8">
        <v>2199</v>
      </c>
      <c r="C94" s="8">
        <v>2199</v>
      </c>
      <c r="D94" s="8">
        <v>2199</v>
      </c>
      <c r="E94" s="8">
        <v>2199</v>
      </c>
      <c r="F94" s="8">
        <v>2199</v>
      </c>
      <c r="G94" s="8">
        <v>2199</v>
      </c>
      <c r="H94" s="8">
        <v>2199</v>
      </c>
      <c r="I94" s="8">
        <v>2199</v>
      </c>
      <c r="J94" s="8">
        <v>2199</v>
      </c>
      <c r="K94" s="8">
        <v>2199</v>
      </c>
      <c r="L94" s="8">
        <v>2199</v>
      </c>
      <c r="M94" s="8">
        <v>2199</v>
      </c>
      <c r="N94" s="8">
        <v>2199</v>
      </c>
      <c r="O94" s="8">
        <v>2199</v>
      </c>
      <c r="P94" s="8">
        <v>2199</v>
      </c>
      <c r="Q94" s="8">
        <v>4524</v>
      </c>
      <c r="R94" s="8">
        <v>4524</v>
      </c>
      <c r="S94" s="8">
        <v>4524</v>
      </c>
      <c r="T94" s="8">
        <v>4116</v>
      </c>
      <c r="U94" s="8">
        <v>4116</v>
      </c>
      <c r="V94" s="8">
        <v>4116</v>
      </c>
      <c r="W94" s="8">
        <v>4116</v>
      </c>
      <c r="X94" s="8">
        <v>3744</v>
      </c>
      <c r="Y94" s="8">
        <v>3744</v>
      </c>
      <c r="Z94" s="8">
        <v>3744</v>
      </c>
      <c r="AA94" s="8">
        <v>3744</v>
      </c>
      <c r="AB94" s="8">
        <v>3744</v>
      </c>
      <c r="AC94" s="8">
        <v>3744</v>
      </c>
      <c r="AD94" s="8">
        <v>3744</v>
      </c>
      <c r="AE94" s="8">
        <v>3516</v>
      </c>
      <c r="AF94" s="8"/>
    </row>
    <row r="95" spans="1:32">
      <c r="A95" s="31" t="s">
        <v>383</v>
      </c>
      <c r="B95" s="8">
        <v>5769</v>
      </c>
      <c r="C95" s="8">
        <v>5769</v>
      </c>
      <c r="D95" s="8">
        <v>5769</v>
      </c>
      <c r="E95" s="8">
        <v>5139</v>
      </c>
      <c r="F95" s="8">
        <v>5139</v>
      </c>
      <c r="G95" s="8">
        <v>5139</v>
      </c>
      <c r="H95" s="8">
        <v>5139</v>
      </c>
      <c r="I95" s="8">
        <v>4319</v>
      </c>
      <c r="J95" s="8">
        <v>4319</v>
      </c>
      <c r="K95" s="8">
        <v>4319</v>
      </c>
      <c r="L95" s="8">
        <v>4319</v>
      </c>
      <c r="M95" s="8">
        <v>4319</v>
      </c>
      <c r="N95" s="8">
        <v>4319</v>
      </c>
      <c r="O95" s="8">
        <v>4319</v>
      </c>
      <c r="P95" s="8">
        <v>4319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8">
        <v>7344</v>
      </c>
      <c r="Y95" s="8">
        <v>7344</v>
      </c>
      <c r="Z95" s="8">
        <v>7344</v>
      </c>
      <c r="AA95" s="8">
        <v>7344</v>
      </c>
      <c r="AB95" s="8">
        <v>7344</v>
      </c>
      <c r="AC95" s="8">
        <v>7344</v>
      </c>
      <c r="AD95" s="8">
        <v>7344</v>
      </c>
      <c r="AE95" s="8">
        <v>6912</v>
      </c>
      <c r="AF95" s="8"/>
    </row>
    <row r="96" spans="1:32">
      <c r="A96" s="31" t="s">
        <v>384</v>
      </c>
      <c r="B96" s="8">
        <v>729</v>
      </c>
      <c r="C96" s="8">
        <v>729</v>
      </c>
      <c r="D96" s="8">
        <v>729</v>
      </c>
      <c r="E96" s="8">
        <v>719</v>
      </c>
      <c r="F96" s="8">
        <v>719</v>
      </c>
      <c r="G96" s="8">
        <v>719</v>
      </c>
      <c r="H96" s="8">
        <v>719</v>
      </c>
      <c r="I96" s="8">
        <v>689</v>
      </c>
      <c r="J96" s="8">
        <v>689</v>
      </c>
      <c r="K96" s="8">
        <v>689</v>
      </c>
      <c r="L96" s="8">
        <v>689</v>
      </c>
      <c r="M96" s="8">
        <v>689</v>
      </c>
      <c r="N96" s="8">
        <v>689</v>
      </c>
      <c r="O96" s="8">
        <v>689</v>
      </c>
      <c r="P96" s="8">
        <v>689</v>
      </c>
      <c r="Q96" s="8">
        <v>1560</v>
      </c>
      <c r="R96" s="8">
        <v>1560</v>
      </c>
      <c r="S96" s="8">
        <v>1560</v>
      </c>
      <c r="T96" s="8">
        <v>1416</v>
      </c>
      <c r="U96" s="8">
        <v>1416</v>
      </c>
      <c r="V96" s="8">
        <v>1416</v>
      </c>
      <c r="W96" s="8">
        <v>1416</v>
      </c>
      <c r="X96" s="8">
        <v>1284</v>
      </c>
      <c r="Y96" s="8">
        <v>1284</v>
      </c>
      <c r="Z96" s="8">
        <v>1284</v>
      </c>
      <c r="AA96" s="8">
        <v>1284</v>
      </c>
      <c r="AB96" s="8">
        <v>1284</v>
      </c>
      <c r="AC96" s="8">
        <v>1284</v>
      </c>
      <c r="AD96" s="8">
        <v>1284</v>
      </c>
      <c r="AE96" s="8">
        <v>1104</v>
      </c>
      <c r="AF96" s="8"/>
    </row>
    <row r="97" spans="1:32">
      <c r="A97" s="31" t="s">
        <v>385</v>
      </c>
      <c r="B97" s="8">
        <v>569</v>
      </c>
      <c r="C97" s="8">
        <v>479</v>
      </c>
      <c r="D97" s="8">
        <v>479</v>
      </c>
      <c r="E97" s="8">
        <v>479</v>
      </c>
      <c r="F97" s="8">
        <v>479</v>
      </c>
      <c r="G97" s="8">
        <v>479</v>
      </c>
      <c r="H97" s="8">
        <v>479</v>
      </c>
      <c r="I97" s="8">
        <v>479</v>
      </c>
      <c r="J97" s="8">
        <v>479</v>
      </c>
      <c r="K97" s="8">
        <v>479</v>
      </c>
      <c r="L97" s="8">
        <v>479</v>
      </c>
      <c r="M97" s="8">
        <v>479</v>
      </c>
      <c r="N97" s="8">
        <v>479</v>
      </c>
      <c r="O97" s="8">
        <v>479</v>
      </c>
      <c r="P97" s="8">
        <v>479</v>
      </c>
      <c r="Q97" s="8">
        <v>996</v>
      </c>
      <c r="R97" s="8">
        <v>996</v>
      </c>
      <c r="S97" s="8">
        <v>996</v>
      </c>
      <c r="T97" s="8">
        <v>900</v>
      </c>
      <c r="U97" s="8">
        <v>900</v>
      </c>
      <c r="V97" s="8">
        <v>900</v>
      </c>
      <c r="W97" s="8">
        <v>900</v>
      </c>
      <c r="X97" s="8">
        <v>816</v>
      </c>
      <c r="Y97" s="8">
        <v>816</v>
      </c>
      <c r="Z97" s="8">
        <v>816</v>
      </c>
      <c r="AA97" s="8">
        <v>816</v>
      </c>
      <c r="AB97" s="8">
        <v>816</v>
      </c>
      <c r="AC97" s="8">
        <v>816</v>
      </c>
      <c r="AD97" s="8">
        <v>816</v>
      </c>
      <c r="AE97" s="8">
        <v>768</v>
      </c>
      <c r="AF97" s="8"/>
    </row>
    <row r="98" spans="1:32">
      <c r="A98" s="31" t="s">
        <v>386</v>
      </c>
      <c r="B98" s="8">
        <v>299</v>
      </c>
      <c r="C98" s="8">
        <v>299</v>
      </c>
      <c r="D98" s="8">
        <v>299</v>
      </c>
      <c r="E98" s="8">
        <v>299</v>
      </c>
      <c r="F98" s="8">
        <v>299</v>
      </c>
      <c r="G98" s="8">
        <v>299</v>
      </c>
      <c r="H98" s="8">
        <v>299</v>
      </c>
      <c r="I98" s="8">
        <v>299</v>
      </c>
      <c r="J98" s="8">
        <v>299</v>
      </c>
      <c r="K98" s="8">
        <v>299</v>
      </c>
      <c r="L98" s="8">
        <v>299</v>
      </c>
      <c r="M98" s="8">
        <v>299</v>
      </c>
      <c r="N98" s="8">
        <v>299</v>
      </c>
      <c r="O98" s="8">
        <v>299</v>
      </c>
      <c r="P98" s="8">
        <v>299</v>
      </c>
      <c r="Q98" s="8">
        <v>672</v>
      </c>
      <c r="R98" s="8">
        <v>672</v>
      </c>
      <c r="S98" s="8">
        <v>672</v>
      </c>
      <c r="T98" s="8">
        <v>612</v>
      </c>
      <c r="U98" s="8">
        <v>612</v>
      </c>
      <c r="V98" s="8">
        <v>612</v>
      </c>
      <c r="W98" s="8">
        <v>612</v>
      </c>
      <c r="X98" s="8">
        <v>552</v>
      </c>
      <c r="Y98" s="8">
        <v>552</v>
      </c>
      <c r="Z98" s="8">
        <v>552</v>
      </c>
      <c r="AA98" s="8">
        <v>552</v>
      </c>
      <c r="AB98" s="8">
        <v>552</v>
      </c>
      <c r="AC98" s="8">
        <v>552</v>
      </c>
      <c r="AD98" s="8">
        <v>552</v>
      </c>
      <c r="AE98" s="8">
        <v>480</v>
      </c>
      <c r="AF98" s="8"/>
    </row>
    <row r="99" spans="1:32">
      <c r="A99" s="31" t="s">
        <v>387</v>
      </c>
      <c r="B99" s="8">
        <v>199</v>
      </c>
      <c r="C99" s="8">
        <v>199</v>
      </c>
      <c r="D99" s="8">
        <v>199</v>
      </c>
      <c r="E99" s="8">
        <v>199</v>
      </c>
      <c r="F99" s="8">
        <v>199</v>
      </c>
      <c r="G99" s="8">
        <v>199</v>
      </c>
      <c r="H99" s="8">
        <v>199</v>
      </c>
      <c r="I99" s="8">
        <v>199</v>
      </c>
      <c r="J99" s="8">
        <v>199</v>
      </c>
      <c r="K99" s="8">
        <v>199</v>
      </c>
      <c r="L99" s="8">
        <v>199</v>
      </c>
      <c r="M99" s="8">
        <v>199</v>
      </c>
      <c r="N99" s="8">
        <v>199</v>
      </c>
      <c r="O99" s="8">
        <v>199</v>
      </c>
      <c r="P99" s="8">
        <v>199</v>
      </c>
      <c r="Q99" s="8">
        <v>444</v>
      </c>
      <c r="R99" s="8">
        <v>444</v>
      </c>
      <c r="S99" s="8">
        <v>444</v>
      </c>
      <c r="T99" s="8">
        <v>408</v>
      </c>
      <c r="U99" s="8">
        <v>408</v>
      </c>
      <c r="V99" s="8">
        <v>408</v>
      </c>
      <c r="W99" s="8">
        <v>408</v>
      </c>
      <c r="X99" s="8">
        <v>372</v>
      </c>
      <c r="Y99" s="8">
        <v>372</v>
      </c>
      <c r="Z99" s="8">
        <v>372</v>
      </c>
      <c r="AA99" s="8">
        <v>372</v>
      </c>
      <c r="AB99" s="8">
        <v>372</v>
      </c>
      <c r="AC99" s="8">
        <v>372</v>
      </c>
      <c r="AD99" s="8">
        <v>372</v>
      </c>
      <c r="AE99" s="8">
        <v>324</v>
      </c>
      <c r="AF99" s="8"/>
    </row>
    <row r="100" spans="1:32">
      <c r="A100" s="31" t="s">
        <v>388</v>
      </c>
      <c r="B100" s="8">
        <v>299</v>
      </c>
      <c r="C100" s="8">
        <v>299</v>
      </c>
      <c r="D100" s="8">
        <v>299</v>
      </c>
      <c r="E100" s="8">
        <v>299</v>
      </c>
      <c r="F100" s="8">
        <v>299</v>
      </c>
      <c r="G100" s="8">
        <v>299</v>
      </c>
      <c r="H100" s="8">
        <v>299</v>
      </c>
      <c r="I100" s="8">
        <v>299</v>
      </c>
      <c r="J100" s="8">
        <v>299</v>
      </c>
      <c r="K100" s="8">
        <v>299</v>
      </c>
      <c r="L100" s="8">
        <v>299</v>
      </c>
      <c r="M100" s="8">
        <v>299</v>
      </c>
      <c r="N100" s="8">
        <v>299</v>
      </c>
      <c r="O100" s="8">
        <v>299</v>
      </c>
      <c r="P100" s="8">
        <v>299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8"/>
    </row>
    <row r="101" spans="1:32">
      <c r="A101" s="31" t="s">
        <v>389</v>
      </c>
      <c r="B101" s="8">
        <v>299</v>
      </c>
      <c r="C101" s="8">
        <v>299</v>
      </c>
      <c r="D101" s="8">
        <v>299</v>
      </c>
      <c r="E101" s="8">
        <v>299</v>
      </c>
      <c r="F101" s="8">
        <v>299</v>
      </c>
      <c r="G101" s="8">
        <v>299</v>
      </c>
      <c r="H101" s="8">
        <v>299</v>
      </c>
      <c r="I101" s="8">
        <v>299</v>
      </c>
      <c r="J101" s="8">
        <v>299</v>
      </c>
      <c r="K101" s="8">
        <v>299</v>
      </c>
      <c r="L101" s="8">
        <v>299</v>
      </c>
      <c r="M101" s="8">
        <v>299</v>
      </c>
      <c r="N101" s="8">
        <v>299</v>
      </c>
      <c r="O101" s="8">
        <v>299</v>
      </c>
      <c r="P101" s="8">
        <v>299</v>
      </c>
      <c r="Q101" s="8">
        <v>672</v>
      </c>
      <c r="R101" s="8">
        <v>672</v>
      </c>
      <c r="S101" s="8">
        <v>672</v>
      </c>
      <c r="T101" s="8">
        <v>612</v>
      </c>
      <c r="U101" s="8">
        <v>612</v>
      </c>
      <c r="V101" s="8">
        <v>612</v>
      </c>
      <c r="W101" s="8">
        <v>612</v>
      </c>
      <c r="X101" s="8">
        <v>552</v>
      </c>
      <c r="Y101" s="8">
        <v>552</v>
      </c>
      <c r="Z101" s="8">
        <v>552</v>
      </c>
      <c r="AA101" s="8">
        <v>552</v>
      </c>
      <c r="AB101" s="8">
        <v>552</v>
      </c>
      <c r="AC101" s="8">
        <v>552</v>
      </c>
      <c r="AD101" s="8">
        <v>552</v>
      </c>
      <c r="AE101" s="8">
        <v>480</v>
      </c>
      <c r="AF101" s="8"/>
    </row>
    <row r="102" spans="1:32">
      <c r="A102" s="31" t="s">
        <v>390</v>
      </c>
      <c r="B102" s="8">
        <v>539</v>
      </c>
      <c r="C102" s="8">
        <v>539</v>
      </c>
      <c r="D102" s="8">
        <v>539</v>
      </c>
      <c r="E102" s="8">
        <v>539</v>
      </c>
      <c r="F102" s="8">
        <v>539</v>
      </c>
      <c r="G102" s="8">
        <v>539</v>
      </c>
      <c r="H102" s="8">
        <v>539</v>
      </c>
      <c r="I102" s="8">
        <v>539</v>
      </c>
      <c r="J102" s="8">
        <v>539</v>
      </c>
      <c r="K102" s="8">
        <v>539</v>
      </c>
      <c r="L102" s="8">
        <v>539</v>
      </c>
      <c r="M102" s="8">
        <v>539</v>
      </c>
      <c r="N102" s="8">
        <v>539</v>
      </c>
      <c r="O102" s="8">
        <v>539</v>
      </c>
      <c r="P102" s="8">
        <v>539</v>
      </c>
      <c r="Q102" s="8">
        <v>1212</v>
      </c>
      <c r="R102" s="8">
        <v>1212</v>
      </c>
      <c r="S102" s="8">
        <v>1212</v>
      </c>
      <c r="T102" s="8">
        <v>1104</v>
      </c>
      <c r="U102" s="8">
        <v>1104</v>
      </c>
      <c r="V102" s="8">
        <v>1104</v>
      </c>
      <c r="W102" s="8">
        <v>1104</v>
      </c>
      <c r="X102" s="8">
        <v>1008</v>
      </c>
      <c r="Y102" s="8">
        <v>1008</v>
      </c>
      <c r="Z102" s="8">
        <v>1008</v>
      </c>
      <c r="AA102" s="8">
        <v>1008</v>
      </c>
      <c r="AB102" s="8">
        <v>1008</v>
      </c>
      <c r="AC102" s="8">
        <v>1008</v>
      </c>
      <c r="AD102" s="8">
        <v>1008</v>
      </c>
      <c r="AE102" s="8">
        <v>864</v>
      </c>
      <c r="AF102" s="8"/>
    </row>
    <row r="103" spans="1:32">
      <c r="A103" s="31" t="s">
        <v>391</v>
      </c>
      <c r="B103" s="8">
        <v>509</v>
      </c>
      <c r="C103" s="8">
        <v>509</v>
      </c>
      <c r="D103" s="8">
        <v>509</v>
      </c>
      <c r="E103" s="8">
        <v>509</v>
      </c>
      <c r="F103" s="8">
        <v>509</v>
      </c>
      <c r="G103" s="8">
        <v>509</v>
      </c>
      <c r="H103" s="8">
        <v>509</v>
      </c>
      <c r="I103" s="8">
        <v>509</v>
      </c>
      <c r="J103" s="8">
        <v>509</v>
      </c>
      <c r="K103" s="8">
        <v>509</v>
      </c>
      <c r="L103" s="8">
        <v>509</v>
      </c>
      <c r="M103" s="8">
        <v>509</v>
      </c>
      <c r="N103" s="8">
        <v>509</v>
      </c>
      <c r="O103" s="8">
        <v>509</v>
      </c>
      <c r="P103" s="8">
        <v>509</v>
      </c>
      <c r="Q103" s="8">
        <v>1152</v>
      </c>
      <c r="R103" s="8">
        <v>1152</v>
      </c>
      <c r="S103" s="8">
        <v>1152</v>
      </c>
      <c r="T103" s="8">
        <v>1044</v>
      </c>
      <c r="U103" s="8">
        <v>1044</v>
      </c>
      <c r="V103" s="8">
        <v>1044</v>
      </c>
      <c r="W103" s="8">
        <v>1044</v>
      </c>
      <c r="X103" s="8">
        <v>948</v>
      </c>
      <c r="Y103" s="8">
        <v>948</v>
      </c>
      <c r="Z103" s="8">
        <v>948</v>
      </c>
      <c r="AA103" s="8">
        <v>948</v>
      </c>
      <c r="AB103" s="8">
        <v>948</v>
      </c>
      <c r="AC103" s="8">
        <v>948</v>
      </c>
      <c r="AD103" s="8">
        <v>948</v>
      </c>
      <c r="AE103" s="8">
        <v>816</v>
      </c>
      <c r="AF103" s="8"/>
    </row>
    <row r="104" spans="1:32">
      <c r="A104" s="31" t="s">
        <v>392</v>
      </c>
      <c r="B104" s="8">
        <v>419</v>
      </c>
      <c r="C104" s="8">
        <v>419</v>
      </c>
      <c r="D104" s="8">
        <v>419</v>
      </c>
      <c r="E104" s="8">
        <v>419</v>
      </c>
      <c r="F104" s="8">
        <v>419</v>
      </c>
      <c r="G104" s="8">
        <v>419</v>
      </c>
      <c r="H104" s="8">
        <v>419</v>
      </c>
      <c r="I104" s="8">
        <v>419</v>
      </c>
      <c r="J104" s="8">
        <v>419</v>
      </c>
      <c r="K104" s="8">
        <v>419</v>
      </c>
      <c r="L104" s="8">
        <v>419</v>
      </c>
      <c r="M104" s="8">
        <v>419</v>
      </c>
      <c r="N104" s="8">
        <v>419</v>
      </c>
      <c r="O104" s="8">
        <v>419</v>
      </c>
      <c r="P104" s="8">
        <v>419</v>
      </c>
      <c r="Q104" s="8">
        <v>1572</v>
      </c>
      <c r="R104" s="8">
        <v>1572</v>
      </c>
      <c r="S104" s="8">
        <v>1572</v>
      </c>
      <c r="T104" s="8">
        <v>1428</v>
      </c>
      <c r="U104" s="8">
        <v>1428</v>
      </c>
      <c r="V104" s="8">
        <v>1428</v>
      </c>
      <c r="W104" s="8">
        <v>1428</v>
      </c>
      <c r="X104" s="8">
        <v>1296</v>
      </c>
      <c r="Y104" s="8">
        <v>1296</v>
      </c>
      <c r="Z104" s="8">
        <v>1296</v>
      </c>
      <c r="AA104" s="8">
        <v>1296</v>
      </c>
      <c r="AB104" s="8">
        <v>1296</v>
      </c>
      <c r="AC104" s="8">
        <v>1296</v>
      </c>
      <c r="AD104" s="8">
        <v>1296</v>
      </c>
      <c r="AE104" s="8">
        <v>1104</v>
      </c>
      <c r="AF104" s="8"/>
    </row>
    <row r="105" spans="1:32">
      <c r="A105" s="31" t="s">
        <v>393</v>
      </c>
      <c r="B105" s="8">
        <v>909</v>
      </c>
      <c r="C105" s="8">
        <v>909</v>
      </c>
      <c r="D105" s="8">
        <v>909</v>
      </c>
      <c r="E105" s="8">
        <v>909</v>
      </c>
      <c r="F105" s="8">
        <v>909</v>
      </c>
      <c r="G105" s="8">
        <v>909</v>
      </c>
      <c r="H105" s="8">
        <v>909</v>
      </c>
      <c r="I105" s="8">
        <v>909</v>
      </c>
      <c r="J105" s="8">
        <v>909</v>
      </c>
      <c r="K105" s="8">
        <v>909</v>
      </c>
      <c r="L105" s="8">
        <v>909</v>
      </c>
      <c r="M105" s="8">
        <v>909</v>
      </c>
      <c r="N105" s="8">
        <v>909</v>
      </c>
      <c r="O105" s="8">
        <v>909</v>
      </c>
      <c r="P105" s="8">
        <v>909</v>
      </c>
      <c r="Q105" s="8">
        <v>2928</v>
      </c>
      <c r="R105" s="8">
        <v>2928</v>
      </c>
      <c r="S105" s="8">
        <v>2928</v>
      </c>
      <c r="T105" s="8">
        <v>2664</v>
      </c>
      <c r="U105" s="8">
        <v>2664</v>
      </c>
      <c r="V105" s="8">
        <v>2664</v>
      </c>
      <c r="W105" s="8">
        <v>2664</v>
      </c>
      <c r="X105" s="8">
        <v>2424</v>
      </c>
      <c r="Y105" s="8">
        <v>2424</v>
      </c>
      <c r="Z105" s="8">
        <v>2424</v>
      </c>
      <c r="AA105" s="8">
        <v>2424</v>
      </c>
      <c r="AB105" s="8">
        <v>2424</v>
      </c>
      <c r="AC105" s="8">
        <v>2424</v>
      </c>
      <c r="AD105" s="8">
        <v>2424</v>
      </c>
      <c r="AE105" s="8">
        <v>2028</v>
      </c>
      <c r="AF105" s="8"/>
    </row>
    <row r="106" spans="1:32">
      <c r="A106" s="31" t="s">
        <v>394</v>
      </c>
      <c r="B106" s="8">
        <v>729</v>
      </c>
      <c r="C106" s="8">
        <v>729</v>
      </c>
      <c r="D106" s="8">
        <v>729</v>
      </c>
      <c r="E106" s="8">
        <v>719</v>
      </c>
      <c r="F106" s="8">
        <v>719</v>
      </c>
      <c r="G106" s="8">
        <v>719</v>
      </c>
      <c r="H106" s="8">
        <v>719</v>
      </c>
      <c r="I106" s="8">
        <v>689</v>
      </c>
      <c r="J106" s="8">
        <v>689</v>
      </c>
      <c r="K106" s="8">
        <v>689</v>
      </c>
      <c r="L106" s="8">
        <v>689</v>
      </c>
      <c r="M106" s="8">
        <v>689</v>
      </c>
      <c r="N106" s="8">
        <v>689</v>
      </c>
      <c r="O106" s="8">
        <v>689</v>
      </c>
      <c r="P106" s="8">
        <v>689</v>
      </c>
      <c r="Q106" s="8">
        <v>1500</v>
      </c>
      <c r="R106" s="8">
        <v>1500</v>
      </c>
      <c r="S106" s="8">
        <v>1500</v>
      </c>
      <c r="T106" s="8">
        <v>1368</v>
      </c>
      <c r="U106" s="8">
        <v>1368</v>
      </c>
      <c r="V106" s="8">
        <v>1368</v>
      </c>
      <c r="W106" s="8">
        <v>1368</v>
      </c>
      <c r="X106" s="8">
        <v>1248</v>
      </c>
      <c r="Y106" s="8">
        <v>1248</v>
      </c>
      <c r="Z106" s="8">
        <v>1248</v>
      </c>
      <c r="AA106" s="8">
        <v>1248</v>
      </c>
      <c r="AB106" s="8">
        <v>1248</v>
      </c>
      <c r="AC106" s="8">
        <v>1248</v>
      </c>
      <c r="AD106" s="8">
        <v>1248</v>
      </c>
      <c r="AE106" s="8">
        <v>1104</v>
      </c>
      <c r="AF106" s="8"/>
    </row>
    <row r="107" spans="1:32">
      <c r="A107" s="31" t="s">
        <v>395</v>
      </c>
      <c r="B107" s="8">
        <v>849</v>
      </c>
      <c r="C107" s="8">
        <v>849</v>
      </c>
      <c r="D107" s="8">
        <v>849</v>
      </c>
      <c r="E107" s="8">
        <v>839</v>
      </c>
      <c r="F107" s="8">
        <v>839</v>
      </c>
      <c r="G107" s="8">
        <v>829</v>
      </c>
      <c r="H107" s="8">
        <v>829</v>
      </c>
      <c r="I107" s="8">
        <v>789</v>
      </c>
      <c r="J107" s="8">
        <v>789</v>
      </c>
      <c r="K107" s="8">
        <v>789</v>
      </c>
      <c r="L107" s="8">
        <v>789</v>
      </c>
      <c r="M107" s="8">
        <v>789</v>
      </c>
      <c r="N107" s="8">
        <v>789</v>
      </c>
      <c r="O107" s="8">
        <v>789</v>
      </c>
      <c r="P107" s="8">
        <v>729</v>
      </c>
      <c r="Q107" s="8">
        <v>1764</v>
      </c>
      <c r="R107" s="8">
        <v>1764</v>
      </c>
      <c r="S107" s="8">
        <v>1764</v>
      </c>
      <c r="T107" s="8">
        <v>1608</v>
      </c>
      <c r="U107" s="8">
        <v>1608</v>
      </c>
      <c r="V107" s="8">
        <v>1608</v>
      </c>
      <c r="W107" s="8">
        <v>1608</v>
      </c>
      <c r="X107" s="8">
        <v>1464</v>
      </c>
      <c r="Y107" s="8">
        <v>1464</v>
      </c>
      <c r="Z107" s="8">
        <v>1464</v>
      </c>
      <c r="AA107" s="8">
        <v>1464</v>
      </c>
      <c r="AB107" s="8">
        <v>1464</v>
      </c>
      <c r="AC107" s="8">
        <v>1464</v>
      </c>
      <c r="AD107" s="8">
        <v>1464</v>
      </c>
      <c r="AE107" s="8">
        <v>1164</v>
      </c>
      <c r="AF107" s="8"/>
    </row>
    <row r="108" spans="1:32">
      <c r="A108" s="31" t="s">
        <v>396</v>
      </c>
      <c r="B108" s="8">
        <v>759</v>
      </c>
      <c r="C108" s="8">
        <v>719</v>
      </c>
      <c r="D108" s="8">
        <v>719</v>
      </c>
      <c r="E108" s="8">
        <v>719</v>
      </c>
      <c r="F108" s="8">
        <v>719</v>
      </c>
      <c r="G108" s="8">
        <v>719</v>
      </c>
      <c r="H108" s="8">
        <v>719</v>
      </c>
      <c r="I108" s="8">
        <v>699</v>
      </c>
      <c r="J108" s="8">
        <v>699</v>
      </c>
      <c r="K108" s="8">
        <v>699</v>
      </c>
      <c r="L108" s="8">
        <v>699</v>
      </c>
      <c r="M108" s="8">
        <v>699</v>
      </c>
      <c r="N108" s="8">
        <v>699</v>
      </c>
      <c r="O108" s="8">
        <v>699</v>
      </c>
      <c r="P108" s="8">
        <v>699</v>
      </c>
      <c r="Q108" s="8">
        <v>1824</v>
      </c>
      <c r="R108" s="8">
        <v>1824</v>
      </c>
      <c r="S108" s="8">
        <v>1824</v>
      </c>
      <c r="T108" s="8">
        <v>1656</v>
      </c>
      <c r="U108" s="8">
        <v>1656</v>
      </c>
      <c r="V108" s="8">
        <v>1656</v>
      </c>
      <c r="W108" s="8">
        <v>1656</v>
      </c>
      <c r="X108" s="8">
        <v>1500</v>
      </c>
      <c r="Y108" s="8">
        <v>1500</v>
      </c>
      <c r="Z108" s="8">
        <v>1500</v>
      </c>
      <c r="AA108" s="8">
        <v>1500</v>
      </c>
      <c r="AB108" s="8">
        <v>1500</v>
      </c>
      <c r="AC108" s="8">
        <v>1500</v>
      </c>
      <c r="AD108" s="8">
        <v>1500</v>
      </c>
      <c r="AE108" s="8">
        <v>1320</v>
      </c>
      <c r="AF108" s="8"/>
    </row>
    <row r="109" spans="1:32">
      <c r="A109" s="31" t="s">
        <v>397</v>
      </c>
      <c r="B109" s="8">
        <v>969</v>
      </c>
      <c r="C109" s="8">
        <v>969</v>
      </c>
      <c r="D109" s="8">
        <v>969</v>
      </c>
      <c r="E109" s="8">
        <v>969</v>
      </c>
      <c r="F109" s="8">
        <v>969</v>
      </c>
      <c r="G109" s="8">
        <v>969</v>
      </c>
      <c r="H109" s="8">
        <v>969</v>
      </c>
      <c r="I109" s="8">
        <v>899</v>
      </c>
      <c r="J109" s="8">
        <v>899</v>
      </c>
      <c r="K109" s="8">
        <v>899</v>
      </c>
      <c r="L109" s="8">
        <v>899</v>
      </c>
      <c r="M109" s="8">
        <v>899</v>
      </c>
      <c r="N109" s="8">
        <v>899</v>
      </c>
      <c r="O109" s="8">
        <v>899</v>
      </c>
      <c r="P109" s="8">
        <v>899</v>
      </c>
      <c r="Q109" s="8">
        <v>2364</v>
      </c>
      <c r="R109" s="8">
        <v>2364</v>
      </c>
      <c r="S109" s="8">
        <v>2364</v>
      </c>
      <c r="T109" s="8">
        <v>2148</v>
      </c>
      <c r="U109" s="8">
        <v>2148</v>
      </c>
      <c r="V109" s="8">
        <v>2148</v>
      </c>
      <c r="W109" s="8">
        <v>2148</v>
      </c>
      <c r="X109" s="8">
        <v>1956</v>
      </c>
      <c r="Y109" s="8">
        <v>1956</v>
      </c>
      <c r="Z109" s="8">
        <v>1956</v>
      </c>
      <c r="AA109" s="8">
        <v>1956</v>
      </c>
      <c r="AB109" s="8">
        <v>1956</v>
      </c>
      <c r="AC109" s="8">
        <v>1956</v>
      </c>
      <c r="AD109" s="8">
        <v>1956</v>
      </c>
      <c r="AE109" s="8">
        <v>1656</v>
      </c>
      <c r="AF109" s="8"/>
    </row>
    <row r="110" spans="1:32">
      <c r="A110" s="31" t="s">
        <v>398</v>
      </c>
      <c r="B110" s="8">
        <v>479</v>
      </c>
      <c r="C110" s="8">
        <v>479</v>
      </c>
      <c r="D110" s="8">
        <v>479</v>
      </c>
      <c r="E110" s="8">
        <v>479</v>
      </c>
      <c r="F110" s="8">
        <v>479</v>
      </c>
      <c r="G110" s="8">
        <v>469</v>
      </c>
      <c r="H110" s="8">
        <v>469</v>
      </c>
      <c r="I110" s="8">
        <v>449</v>
      </c>
      <c r="J110" s="8">
        <v>449</v>
      </c>
      <c r="K110" s="8">
        <v>449</v>
      </c>
      <c r="L110" s="8">
        <v>449</v>
      </c>
      <c r="M110" s="8">
        <v>449</v>
      </c>
      <c r="N110" s="8">
        <v>449</v>
      </c>
      <c r="O110" s="8">
        <v>449</v>
      </c>
      <c r="P110" s="8">
        <v>419</v>
      </c>
      <c r="Q110" s="8">
        <v>1008</v>
      </c>
      <c r="R110" s="8">
        <v>1008</v>
      </c>
      <c r="S110" s="8">
        <v>1008</v>
      </c>
      <c r="T110" s="8">
        <v>912</v>
      </c>
      <c r="U110" s="8">
        <v>912</v>
      </c>
      <c r="V110" s="8">
        <v>912</v>
      </c>
      <c r="W110" s="8">
        <v>912</v>
      </c>
      <c r="X110" s="8">
        <v>828</v>
      </c>
      <c r="Y110" s="8">
        <v>828</v>
      </c>
      <c r="Z110" s="8">
        <v>828</v>
      </c>
      <c r="AA110" s="8">
        <v>828</v>
      </c>
      <c r="AB110" s="8">
        <v>828</v>
      </c>
      <c r="AC110" s="8">
        <v>828</v>
      </c>
      <c r="AD110" s="8">
        <v>828</v>
      </c>
      <c r="AE110" s="8">
        <v>672</v>
      </c>
      <c r="AF110" s="8"/>
    </row>
    <row r="111" spans="1:32">
      <c r="A111" s="31" t="s">
        <v>399</v>
      </c>
      <c r="B111" s="8">
        <v>639</v>
      </c>
      <c r="C111" s="8">
        <v>639</v>
      </c>
      <c r="D111" s="8">
        <v>639</v>
      </c>
      <c r="E111" s="8">
        <v>639</v>
      </c>
      <c r="F111" s="8">
        <v>639</v>
      </c>
      <c r="G111" s="8">
        <v>639</v>
      </c>
      <c r="H111" s="8">
        <v>639</v>
      </c>
      <c r="I111" s="8">
        <v>599</v>
      </c>
      <c r="J111" s="8">
        <v>599</v>
      </c>
      <c r="K111" s="8">
        <v>599</v>
      </c>
      <c r="L111" s="8">
        <v>599</v>
      </c>
      <c r="M111" s="8">
        <v>599</v>
      </c>
      <c r="N111" s="8">
        <v>599</v>
      </c>
      <c r="O111" s="8">
        <v>599</v>
      </c>
      <c r="P111" s="8">
        <v>599</v>
      </c>
      <c r="Q111" s="8">
        <v>1428</v>
      </c>
      <c r="R111" s="8">
        <v>1428</v>
      </c>
      <c r="S111" s="8">
        <v>1428</v>
      </c>
      <c r="T111" s="8">
        <v>1296</v>
      </c>
      <c r="U111" s="8">
        <v>1296</v>
      </c>
      <c r="V111" s="8">
        <v>1296</v>
      </c>
      <c r="W111" s="8">
        <v>1296</v>
      </c>
      <c r="X111" s="8">
        <v>1176</v>
      </c>
      <c r="Y111" s="8">
        <v>1176</v>
      </c>
      <c r="Z111" s="8">
        <v>1176</v>
      </c>
      <c r="AA111" s="8">
        <v>1176</v>
      </c>
      <c r="AB111" s="8">
        <v>1176</v>
      </c>
      <c r="AC111" s="8">
        <v>1176</v>
      </c>
      <c r="AD111" s="8">
        <v>1176</v>
      </c>
      <c r="AE111" s="8">
        <v>1020</v>
      </c>
      <c r="AF111" s="8"/>
    </row>
    <row r="112" spans="1:32">
      <c r="A112" s="31" t="s">
        <v>400</v>
      </c>
      <c r="B112" s="8">
        <v>699</v>
      </c>
      <c r="C112" s="8">
        <v>699</v>
      </c>
      <c r="D112" s="8">
        <v>699</v>
      </c>
      <c r="E112" s="8">
        <v>699</v>
      </c>
      <c r="F112" s="8">
        <v>699</v>
      </c>
      <c r="G112" s="8">
        <v>699</v>
      </c>
      <c r="H112" s="8">
        <v>699</v>
      </c>
      <c r="I112" s="8">
        <v>699</v>
      </c>
      <c r="J112" s="8">
        <v>699</v>
      </c>
      <c r="K112" s="8">
        <v>699</v>
      </c>
      <c r="L112" s="8">
        <v>699</v>
      </c>
      <c r="M112" s="8">
        <v>699</v>
      </c>
      <c r="N112" s="8">
        <v>699</v>
      </c>
      <c r="O112" s="8">
        <v>699</v>
      </c>
      <c r="P112" s="8">
        <v>699</v>
      </c>
      <c r="Q112" s="8">
        <v>1584</v>
      </c>
      <c r="R112" s="8">
        <v>1584</v>
      </c>
      <c r="S112" s="8">
        <v>1584</v>
      </c>
      <c r="T112" s="8">
        <v>1440</v>
      </c>
      <c r="U112" s="8">
        <v>1440</v>
      </c>
      <c r="V112" s="8">
        <v>1440</v>
      </c>
      <c r="W112" s="8">
        <v>1440</v>
      </c>
      <c r="X112" s="8">
        <v>1308</v>
      </c>
      <c r="Y112" s="8">
        <v>1308</v>
      </c>
      <c r="Z112" s="8">
        <v>1308</v>
      </c>
      <c r="AA112" s="8">
        <v>1308</v>
      </c>
      <c r="AB112" s="8">
        <v>1308</v>
      </c>
      <c r="AC112" s="8">
        <v>1308</v>
      </c>
      <c r="AD112" s="8">
        <v>1308</v>
      </c>
      <c r="AE112" s="8">
        <v>1116</v>
      </c>
      <c r="AF112" s="8"/>
    </row>
    <row r="113" spans="1:32">
      <c r="A113" s="31" t="s">
        <v>401</v>
      </c>
      <c r="B113" s="8">
        <v>989</v>
      </c>
      <c r="C113" s="8">
        <v>989</v>
      </c>
      <c r="D113" s="8">
        <v>989</v>
      </c>
      <c r="E113" s="8">
        <v>989</v>
      </c>
      <c r="F113" s="8">
        <v>989</v>
      </c>
      <c r="G113" s="8">
        <v>989</v>
      </c>
      <c r="H113" s="8">
        <v>989</v>
      </c>
      <c r="I113" s="8">
        <v>949</v>
      </c>
      <c r="J113" s="8">
        <v>949</v>
      </c>
      <c r="K113" s="8">
        <v>949</v>
      </c>
      <c r="L113" s="8">
        <v>949</v>
      </c>
      <c r="M113" s="8">
        <v>949</v>
      </c>
      <c r="N113" s="8">
        <v>949</v>
      </c>
      <c r="O113" s="8">
        <v>949</v>
      </c>
      <c r="P113" s="8">
        <v>949</v>
      </c>
      <c r="Q113" s="8">
        <v>1944</v>
      </c>
      <c r="R113" s="8">
        <v>1944</v>
      </c>
      <c r="S113" s="8">
        <v>1944</v>
      </c>
      <c r="T113" s="8">
        <v>1764</v>
      </c>
      <c r="U113" s="8">
        <v>1764</v>
      </c>
      <c r="V113" s="8">
        <v>1764</v>
      </c>
      <c r="W113" s="8">
        <v>1764</v>
      </c>
      <c r="X113" s="8">
        <v>1608</v>
      </c>
      <c r="Y113" s="8">
        <v>1608</v>
      </c>
      <c r="Z113" s="8">
        <v>1608</v>
      </c>
      <c r="AA113" s="8">
        <v>1608</v>
      </c>
      <c r="AB113" s="8">
        <v>1608</v>
      </c>
      <c r="AC113" s="8">
        <v>1608</v>
      </c>
      <c r="AD113" s="8">
        <v>1608</v>
      </c>
      <c r="AE113" s="8">
        <v>1524</v>
      </c>
      <c r="AF113" s="8"/>
    </row>
    <row r="114" spans="1:32">
      <c r="A114" s="31" t="s">
        <v>402</v>
      </c>
      <c r="B114" s="8">
        <v>1399</v>
      </c>
      <c r="C114" s="8">
        <v>1399</v>
      </c>
      <c r="D114" s="8">
        <v>1399</v>
      </c>
      <c r="E114" s="8">
        <v>1399</v>
      </c>
      <c r="F114" s="8">
        <v>1399</v>
      </c>
      <c r="G114" s="8">
        <v>1399</v>
      </c>
      <c r="H114" s="8">
        <v>1399</v>
      </c>
      <c r="I114" s="8">
        <v>1399</v>
      </c>
      <c r="J114" s="8">
        <v>1399</v>
      </c>
      <c r="K114" s="8">
        <v>1399</v>
      </c>
      <c r="L114" s="8">
        <v>1399</v>
      </c>
      <c r="M114" s="8">
        <v>1399</v>
      </c>
      <c r="N114" s="8">
        <v>1399</v>
      </c>
      <c r="O114" s="8">
        <v>1399</v>
      </c>
      <c r="P114" s="8">
        <v>1399</v>
      </c>
      <c r="Q114" s="8">
        <v>2880</v>
      </c>
      <c r="R114" s="8">
        <v>2880</v>
      </c>
      <c r="S114" s="8">
        <v>2880</v>
      </c>
      <c r="T114" s="8">
        <v>2616</v>
      </c>
      <c r="U114" s="8">
        <v>2616</v>
      </c>
      <c r="V114" s="8">
        <v>2616</v>
      </c>
      <c r="W114" s="8">
        <v>2616</v>
      </c>
      <c r="X114" s="8">
        <v>2376</v>
      </c>
      <c r="Y114" s="8">
        <v>2376</v>
      </c>
      <c r="Z114" s="8">
        <v>2376</v>
      </c>
      <c r="AA114" s="8">
        <v>2376</v>
      </c>
      <c r="AB114" s="8">
        <v>2376</v>
      </c>
      <c r="AC114" s="8">
        <v>2376</v>
      </c>
      <c r="AD114" s="8">
        <v>2376</v>
      </c>
      <c r="AE114" s="8">
        <v>2244</v>
      </c>
      <c r="AF114" s="8"/>
    </row>
    <row r="115" spans="1:32">
      <c r="A115" s="31" t="s">
        <v>403</v>
      </c>
      <c r="B115" s="8">
        <v>679</v>
      </c>
      <c r="C115" s="8">
        <v>679</v>
      </c>
      <c r="D115" s="8">
        <v>679</v>
      </c>
      <c r="E115" s="8">
        <v>679</v>
      </c>
      <c r="F115" s="8">
        <v>679</v>
      </c>
      <c r="G115" s="8">
        <v>679</v>
      </c>
      <c r="H115" s="8">
        <v>679</v>
      </c>
      <c r="I115" s="8">
        <v>679</v>
      </c>
      <c r="J115" s="8">
        <v>679</v>
      </c>
      <c r="K115" s="8">
        <v>679</v>
      </c>
      <c r="L115" s="8">
        <v>679</v>
      </c>
      <c r="M115" s="8">
        <v>679</v>
      </c>
      <c r="N115" s="8">
        <v>679</v>
      </c>
      <c r="O115" s="8">
        <v>679</v>
      </c>
      <c r="P115" s="8">
        <v>679</v>
      </c>
      <c r="Q115" s="8">
        <v>1404</v>
      </c>
      <c r="R115" s="8">
        <v>1404</v>
      </c>
      <c r="S115" s="8">
        <v>1404</v>
      </c>
      <c r="T115" s="8">
        <v>1272</v>
      </c>
      <c r="U115" s="8">
        <v>1272</v>
      </c>
      <c r="V115" s="8">
        <v>1272</v>
      </c>
      <c r="W115" s="8">
        <v>1272</v>
      </c>
      <c r="X115" s="8">
        <v>1152</v>
      </c>
      <c r="Y115" s="8">
        <v>1152</v>
      </c>
      <c r="Z115" s="8">
        <v>1152</v>
      </c>
      <c r="AA115" s="8">
        <v>1152</v>
      </c>
      <c r="AB115" s="8">
        <v>1152</v>
      </c>
      <c r="AC115" s="8">
        <v>1152</v>
      </c>
      <c r="AD115" s="8">
        <v>1152</v>
      </c>
      <c r="AE115" s="8">
        <v>1092</v>
      </c>
      <c r="AF115" s="8"/>
    </row>
    <row r="116" spans="1:32">
      <c r="A116" s="31" t="s">
        <v>404</v>
      </c>
      <c r="B116" s="8">
        <v>879</v>
      </c>
      <c r="C116" s="8">
        <v>819</v>
      </c>
      <c r="D116" s="8">
        <v>819</v>
      </c>
      <c r="E116" s="8">
        <v>819</v>
      </c>
      <c r="F116" s="8">
        <v>819</v>
      </c>
      <c r="G116" s="8">
        <v>819</v>
      </c>
      <c r="H116" s="8">
        <v>819</v>
      </c>
      <c r="I116" s="8">
        <v>819</v>
      </c>
      <c r="J116" s="8">
        <v>819</v>
      </c>
      <c r="K116" s="8">
        <v>819</v>
      </c>
      <c r="L116" s="8">
        <v>819</v>
      </c>
      <c r="M116" s="8">
        <v>819</v>
      </c>
      <c r="N116" s="8">
        <v>819</v>
      </c>
      <c r="O116" s="8">
        <v>819</v>
      </c>
      <c r="P116" s="8">
        <v>819</v>
      </c>
      <c r="Q116" s="8">
        <v>1728</v>
      </c>
      <c r="R116" s="8">
        <v>1728</v>
      </c>
      <c r="S116" s="8">
        <v>1728</v>
      </c>
      <c r="T116" s="8">
        <v>1572</v>
      </c>
      <c r="U116" s="8">
        <v>1572</v>
      </c>
      <c r="V116" s="8">
        <v>1572</v>
      </c>
      <c r="W116" s="8">
        <v>1572</v>
      </c>
      <c r="X116" s="8">
        <v>1428</v>
      </c>
      <c r="Y116" s="8">
        <v>1428</v>
      </c>
      <c r="Z116" s="8">
        <v>1428</v>
      </c>
      <c r="AA116" s="8">
        <v>1428</v>
      </c>
      <c r="AB116" s="8">
        <v>1428</v>
      </c>
      <c r="AC116" s="8">
        <v>1428</v>
      </c>
      <c r="AD116" s="8">
        <v>1428</v>
      </c>
      <c r="AE116" s="8">
        <v>1308</v>
      </c>
      <c r="AF116" s="8"/>
    </row>
    <row r="117" spans="1:32">
      <c r="A117" s="31" t="s">
        <v>405</v>
      </c>
      <c r="B117" s="8">
        <v>1499</v>
      </c>
      <c r="C117" s="8">
        <v>1499</v>
      </c>
      <c r="D117" s="8">
        <v>1499</v>
      </c>
      <c r="E117" s="8">
        <v>1499</v>
      </c>
      <c r="F117" s="8">
        <v>1499</v>
      </c>
      <c r="G117" s="8">
        <v>1499</v>
      </c>
      <c r="H117" s="8">
        <v>1499</v>
      </c>
      <c r="I117" s="8">
        <v>1499</v>
      </c>
      <c r="J117" s="8">
        <v>1499</v>
      </c>
      <c r="K117" s="8">
        <v>1499</v>
      </c>
      <c r="L117" s="8">
        <v>1499</v>
      </c>
      <c r="M117" s="8">
        <v>1499</v>
      </c>
      <c r="N117" s="8">
        <v>1499</v>
      </c>
      <c r="O117" s="8">
        <v>1499</v>
      </c>
      <c r="P117" s="8">
        <v>1499</v>
      </c>
      <c r="Q117" s="8">
        <v>3180</v>
      </c>
      <c r="R117" s="8">
        <v>3180</v>
      </c>
      <c r="S117" s="8">
        <v>3180</v>
      </c>
      <c r="T117" s="8">
        <v>2892</v>
      </c>
      <c r="U117" s="8">
        <v>2892</v>
      </c>
      <c r="V117" s="8">
        <v>2892</v>
      </c>
      <c r="W117" s="8">
        <v>2892</v>
      </c>
      <c r="X117" s="8">
        <v>2628</v>
      </c>
      <c r="Y117" s="8">
        <v>2628</v>
      </c>
      <c r="Z117" s="8">
        <v>2628</v>
      </c>
      <c r="AA117" s="8">
        <v>2628</v>
      </c>
      <c r="AB117" s="8">
        <v>2628</v>
      </c>
      <c r="AC117" s="8">
        <v>2628</v>
      </c>
      <c r="AD117" s="8">
        <v>2628</v>
      </c>
      <c r="AE117" s="8">
        <v>2400</v>
      </c>
      <c r="AF117" s="8"/>
    </row>
    <row r="118" spans="1:32">
      <c r="A118" s="31" t="s">
        <v>406</v>
      </c>
      <c r="B118" s="8">
        <v>1199</v>
      </c>
      <c r="C118" s="8">
        <v>1119</v>
      </c>
      <c r="D118" s="8">
        <v>1119</v>
      </c>
      <c r="E118" s="8">
        <v>1119</v>
      </c>
      <c r="F118" s="8">
        <v>1119</v>
      </c>
      <c r="G118" s="8">
        <v>1119</v>
      </c>
      <c r="H118" s="8">
        <v>1119</v>
      </c>
      <c r="I118" s="8">
        <v>1119</v>
      </c>
      <c r="J118" s="8">
        <v>1119</v>
      </c>
      <c r="K118" s="8">
        <v>1119</v>
      </c>
      <c r="L118" s="8">
        <v>1119</v>
      </c>
      <c r="M118" s="8">
        <v>1119</v>
      </c>
      <c r="N118" s="8">
        <v>1119</v>
      </c>
      <c r="O118" s="8">
        <v>1119</v>
      </c>
      <c r="P118" s="8">
        <v>1119</v>
      </c>
      <c r="Q118" s="8">
        <v>2316</v>
      </c>
      <c r="R118" s="8">
        <v>2316</v>
      </c>
      <c r="S118" s="8">
        <v>2316</v>
      </c>
      <c r="T118" s="8">
        <v>2100</v>
      </c>
      <c r="U118" s="8">
        <v>2100</v>
      </c>
      <c r="V118" s="8">
        <v>2100</v>
      </c>
      <c r="W118" s="8">
        <v>2100</v>
      </c>
      <c r="X118" s="8">
        <v>1908</v>
      </c>
      <c r="Y118" s="8">
        <v>1908</v>
      </c>
      <c r="Z118" s="8">
        <v>1908</v>
      </c>
      <c r="AA118" s="8">
        <v>1908</v>
      </c>
      <c r="AB118" s="8">
        <v>1908</v>
      </c>
      <c r="AC118" s="8">
        <v>1908</v>
      </c>
      <c r="AD118" s="8">
        <v>1908</v>
      </c>
      <c r="AE118" s="8">
        <v>1788</v>
      </c>
      <c r="AF118" s="8"/>
    </row>
    <row r="119" spans="1:32">
      <c r="A119" s="31" t="s">
        <v>407</v>
      </c>
      <c r="B119" s="8">
        <v>3019</v>
      </c>
      <c r="C119" s="8">
        <v>3019</v>
      </c>
      <c r="D119" s="8">
        <v>3019</v>
      </c>
      <c r="E119" s="8">
        <v>2999</v>
      </c>
      <c r="F119" s="8">
        <v>2999</v>
      </c>
      <c r="G119" s="8">
        <v>2999</v>
      </c>
      <c r="H119" s="8">
        <v>2999</v>
      </c>
      <c r="I119" s="8">
        <v>2999</v>
      </c>
      <c r="J119" s="8">
        <v>2999</v>
      </c>
      <c r="K119" s="8">
        <v>2999</v>
      </c>
      <c r="L119" s="8">
        <v>2999</v>
      </c>
      <c r="M119" s="8">
        <v>2999</v>
      </c>
      <c r="N119" s="8">
        <v>2999</v>
      </c>
      <c r="O119" s="8">
        <v>2999</v>
      </c>
      <c r="P119" s="8">
        <v>2999</v>
      </c>
      <c r="Q119" s="8">
        <v>6180</v>
      </c>
      <c r="R119" s="8">
        <v>6180</v>
      </c>
      <c r="S119" s="8">
        <v>6180</v>
      </c>
      <c r="T119" s="8">
        <v>5616</v>
      </c>
      <c r="U119" s="8">
        <v>5616</v>
      </c>
      <c r="V119" s="8">
        <v>5616</v>
      </c>
      <c r="W119" s="8">
        <v>5616</v>
      </c>
      <c r="X119" s="8">
        <v>5100</v>
      </c>
      <c r="Y119" s="8">
        <v>5100</v>
      </c>
      <c r="Z119" s="8">
        <v>5100</v>
      </c>
      <c r="AA119" s="8">
        <v>5100</v>
      </c>
      <c r="AB119" s="8">
        <v>5100</v>
      </c>
      <c r="AC119" s="8">
        <v>5100</v>
      </c>
      <c r="AD119" s="8">
        <v>5100</v>
      </c>
      <c r="AE119" s="8">
        <v>4800</v>
      </c>
      <c r="AF119" s="8"/>
    </row>
    <row r="120" spans="1:32">
      <c r="A120" s="31" t="s">
        <v>408</v>
      </c>
      <c r="B120" s="8">
        <v>4209</v>
      </c>
      <c r="C120" s="8">
        <v>4209</v>
      </c>
      <c r="D120" s="8">
        <v>4209</v>
      </c>
      <c r="E120" s="8">
        <v>4209</v>
      </c>
      <c r="F120" s="8">
        <v>4209</v>
      </c>
      <c r="G120" s="8">
        <v>4209</v>
      </c>
      <c r="H120" s="8">
        <v>4209</v>
      </c>
      <c r="I120" s="8">
        <v>4209</v>
      </c>
      <c r="J120" s="8">
        <v>4209</v>
      </c>
      <c r="K120" s="8">
        <v>4209</v>
      </c>
      <c r="L120" s="8">
        <v>4209</v>
      </c>
      <c r="M120" s="8">
        <v>4209</v>
      </c>
      <c r="N120" s="8">
        <v>4209</v>
      </c>
      <c r="O120" s="8">
        <v>4209</v>
      </c>
      <c r="P120" s="8">
        <v>4209</v>
      </c>
      <c r="Q120" s="8">
        <v>8664</v>
      </c>
      <c r="R120" s="8">
        <v>8664</v>
      </c>
      <c r="S120" s="8">
        <v>8664</v>
      </c>
      <c r="T120" s="8">
        <v>7872</v>
      </c>
      <c r="U120" s="8">
        <v>7872</v>
      </c>
      <c r="V120" s="8">
        <v>7872</v>
      </c>
      <c r="W120" s="8">
        <v>7872</v>
      </c>
      <c r="X120" s="8">
        <v>7152</v>
      </c>
      <c r="Y120" s="8">
        <v>7152</v>
      </c>
      <c r="Z120" s="8">
        <v>7152</v>
      </c>
      <c r="AA120" s="8">
        <v>7152</v>
      </c>
      <c r="AB120" s="8">
        <v>7152</v>
      </c>
      <c r="AC120" s="8">
        <v>7152</v>
      </c>
      <c r="AD120" s="8">
        <v>7152</v>
      </c>
      <c r="AE120" s="8">
        <v>6732</v>
      </c>
      <c r="AF120" s="8"/>
    </row>
    <row r="121" spans="1:32">
      <c r="A121" s="31" t="s">
        <v>409</v>
      </c>
      <c r="B121" s="8">
        <v>4479</v>
      </c>
      <c r="C121" s="8">
        <v>4479</v>
      </c>
      <c r="D121" s="8">
        <v>4479</v>
      </c>
      <c r="E121" s="8">
        <v>4479</v>
      </c>
      <c r="F121" s="8">
        <v>4479</v>
      </c>
      <c r="G121" s="8">
        <v>4479</v>
      </c>
      <c r="H121" s="8">
        <v>4479</v>
      </c>
      <c r="I121" s="8">
        <v>4239</v>
      </c>
      <c r="J121" s="8">
        <v>4239</v>
      </c>
      <c r="K121" s="8">
        <v>4239</v>
      </c>
      <c r="L121" s="8">
        <v>4239</v>
      </c>
      <c r="M121" s="8">
        <v>4239</v>
      </c>
      <c r="N121" s="8">
        <v>4239</v>
      </c>
      <c r="O121" s="8">
        <v>4239</v>
      </c>
      <c r="P121" s="8">
        <v>4239</v>
      </c>
      <c r="Q121" s="8">
        <v>8724</v>
      </c>
      <c r="R121" s="8">
        <v>8724</v>
      </c>
      <c r="S121" s="8">
        <v>8724</v>
      </c>
      <c r="T121" s="8">
        <v>7932</v>
      </c>
      <c r="U121" s="8">
        <v>7932</v>
      </c>
      <c r="V121" s="8">
        <v>7932</v>
      </c>
      <c r="W121" s="8">
        <v>7932</v>
      </c>
      <c r="X121" s="8">
        <v>7212</v>
      </c>
      <c r="Y121" s="8">
        <v>7212</v>
      </c>
      <c r="Z121" s="8">
        <v>7212</v>
      </c>
      <c r="AA121" s="8">
        <v>7212</v>
      </c>
      <c r="AB121" s="8">
        <v>7212</v>
      </c>
      <c r="AC121" s="8">
        <v>7212</v>
      </c>
      <c r="AD121" s="8">
        <v>7212</v>
      </c>
      <c r="AE121" s="8">
        <v>6780</v>
      </c>
      <c r="AF121" s="8"/>
    </row>
    <row r="122" spans="1:32">
      <c r="A122" s="31" t="s">
        <v>410</v>
      </c>
      <c r="B122" s="8">
        <v>409</v>
      </c>
      <c r="C122" s="8">
        <v>409</v>
      </c>
      <c r="D122" s="8">
        <v>409</v>
      </c>
      <c r="E122" s="8">
        <v>409</v>
      </c>
      <c r="F122" s="8">
        <v>409</v>
      </c>
      <c r="G122" s="8">
        <v>409</v>
      </c>
      <c r="H122" s="8">
        <v>409</v>
      </c>
      <c r="I122" s="8">
        <v>349</v>
      </c>
      <c r="J122" s="8">
        <v>349</v>
      </c>
      <c r="K122" s="8">
        <v>349</v>
      </c>
      <c r="L122" s="8">
        <v>349</v>
      </c>
      <c r="M122" s="8">
        <v>349</v>
      </c>
      <c r="N122" s="8">
        <v>349</v>
      </c>
      <c r="O122" s="8">
        <v>349</v>
      </c>
      <c r="P122" s="8">
        <v>349</v>
      </c>
      <c r="Q122" s="8">
        <v>780</v>
      </c>
      <c r="R122" s="8">
        <v>780</v>
      </c>
      <c r="S122" s="8">
        <v>780</v>
      </c>
      <c r="T122" s="8">
        <v>708</v>
      </c>
      <c r="U122" s="8">
        <v>708</v>
      </c>
      <c r="V122" s="8">
        <v>708</v>
      </c>
      <c r="W122" s="8">
        <v>708</v>
      </c>
      <c r="X122" s="8">
        <v>648</v>
      </c>
      <c r="Y122" s="8">
        <v>648</v>
      </c>
      <c r="Z122" s="8">
        <v>648</v>
      </c>
      <c r="AA122" s="8">
        <v>648</v>
      </c>
      <c r="AB122" s="8">
        <v>648</v>
      </c>
      <c r="AC122" s="8">
        <v>648</v>
      </c>
      <c r="AD122" s="8">
        <v>648</v>
      </c>
      <c r="AE122" s="8">
        <v>564</v>
      </c>
      <c r="AF122" s="8"/>
    </row>
    <row r="123" spans="1:32">
      <c r="A123" s="31" t="s">
        <v>411</v>
      </c>
      <c r="B123" s="8">
        <v>399</v>
      </c>
      <c r="C123" s="8">
        <v>399</v>
      </c>
      <c r="D123" s="8">
        <v>399</v>
      </c>
      <c r="E123" s="8">
        <v>399</v>
      </c>
      <c r="F123" s="8">
        <v>399</v>
      </c>
      <c r="G123" s="8">
        <v>399</v>
      </c>
      <c r="H123" s="8">
        <v>399</v>
      </c>
      <c r="I123" s="8">
        <v>379</v>
      </c>
      <c r="J123" s="8">
        <v>379</v>
      </c>
      <c r="K123" s="8">
        <v>379</v>
      </c>
      <c r="L123" s="8">
        <v>379</v>
      </c>
      <c r="M123" s="8">
        <v>379</v>
      </c>
      <c r="N123" s="8">
        <v>379</v>
      </c>
      <c r="O123" s="8">
        <v>379</v>
      </c>
      <c r="P123" s="8">
        <v>379</v>
      </c>
      <c r="Q123" s="8">
        <v>780</v>
      </c>
      <c r="R123" s="8">
        <v>780</v>
      </c>
      <c r="S123" s="8">
        <v>780</v>
      </c>
      <c r="T123" s="8">
        <v>708</v>
      </c>
      <c r="U123" s="8">
        <v>708</v>
      </c>
      <c r="V123" s="8">
        <v>708</v>
      </c>
      <c r="W123" s="8">
        <v>708</v>
      </c>
      <c r="X123" s="8">
        <v>648</v>
      </c>
      <c r="Y123" s="8">
        <v>648</v>
      </c>
      <c r="Z123" s="8">
        <v>648</v>
      </c>
      <c r="AA123" s="8">
        <v>648</v>
      </c>
      <c r="AB123" s="8">
        <v>648</v>
      </c>
      <c r="AC123" s="8">
        <v>648</v>
      </c>
      <c r="AD123" s="8">
        <v>648</v>
      </c>
      <c r="AE123" s="8">
        <v>612</v>
      </c>
      <c r="AF123" s="8"/>
    </row>
    <row r="124" spans="1:32">
      <c r="A124" s="31" t="s">
        <v>412</v>
      </c>
      <c r="B124" s="8">
        <v>469</v>
      </c>
      <c r="C124" s="8">
        <v>469</v>
      </c>
      <c r="D124" s="8">
        <v>469</v>
      </c>
      <c r="E124" s="8">
        <v>449</v>
      </c>
      <c r="F124" s="8">
        <v>449</v>
      </c>
      <c r="G124" s="8">
        <v>449</v>
      </c>
      <c r="H124" s="8">
        <v>449</v>
      </c>
      <c r="I124" s="8">
        <v>449</v>
      </c>
      <c r="J124" s="8">
        <v>449</v>
      </c>
      <c r="K124" s="8">
        <v>449</v>
      </c>
      <c r="L124" s="8">
        <v>449</v>
      </c>
      <c r="M124" s="8">
        <v>449</v>
      </c>
      <c r="N124" s="8">
        <v>449</v>
      </c>
      <c r="O124" s="8">
        <v>449</v>
      </c>
      <c r="P124" s="8">
        <v>449</v>
      </c>
      <c r="Q124" s="8">
        <v>924</v>
      </c>
      <c r="R124" s="8">
        <v>924</v>
      </c>
      <c r="S124" s="8">
        <v>924</v>
      </c>
      <c r="T124" s="8">
        <v>840</v>
      </c>
      <c r="U124" s="8">
        <v>840</v>
      </c>
      <c r="V124" s="8">
        <v>840</v>
      </c>
      <c r="W124" s="8">
        <v>840</v>
      </c>
      <c r="X124" s="8">
        <v>768</v>
      </c>
      <c r="Y124" s="8">
        <v>768</v>
      </c>
      <c r="Z124" s="8">
        <v>768</v>
      </c>
      <c r="AA124" s="8">
        <v>768</v>
      </c>
      <c r="AB124" s="8">
        <v>768</v>
      </c>
      <c r="AC124" s="8">
        <v>768</v>
      </c>
      <c r="AD124" s="8">
        <v>768</v>
      </c>
      <c r="AE124" s="8">
        <v>720</v>
      </c>
      <c r="AF124" s="8"/>
    </row>
    <row r="125" spans="1:32">
      <c r="A125" s="31" t="s">
        <v>413</v>
      </c>
      <c r="B125" s="8">
        <v>349</v>
      </c>
      <c r="C125" s="8">
        <v>349</v>
      </c>
      <c r="D125" s="8">
        <v>349</v>
      </c>
      <c r="E125" s="8">
        <v>349</v>
      </c>
      <c r="F125" s="8">
        <v>349</v>
      </c>
      <c r="G125" s="8">
        <v>349</v>
      </c>
      <c r="H125" s="8">
        <v>349</v>
      </c>
      <c r="I125" s="8">
        <v>299</v>
      </c>
      <c r="J125" s="8">
        <v>299</v>
      </c>
      <c r="K125" s="8">
        <v>299</v>
      </c>
      <c r="L125" s="8">
        <v>299</v>
      </c>
      <c r="M125" s="8">
        <v>299</v>
      </c>
      <c r="N125" s="8">
        <v>299</v>
      </c>
      <c r="O125" s="8">
        <v>299</v>
      </c>
      <c r="P125" s="8">
        <v>299</v>
      </c>
      <c r="Q125" s="8">
        <v>672</v>
      </c>
      <c r="R125" s="8">
        <v>672</v>
      </c>
      <c r="S125" s="8">
        <v>672</v>
      </c>
      <c r="T125" s="8">
        <v>612</v>
      </c>
      <c r="U125" s="8">
        <v>612</v>
      </c>
      <c r="V125" s="8">
        <v>612</v>
      </c>
      <c r="W125" s="8">
        <v>612</v>
      </c>
      <c r="X125" s="8">
        <v>552</v>
      </c>
      <c r="Y125" s="8">
        <v>552</v>
      </c>
      <c r="Z125" s="8">
        <v>552</v>
      </c>
      <c r="AA125" s="8">
        <v>552</v>
      </c>
      <c r="AB125" s="8">
        <v>552</v>
      </c>
      <c r="AC125" s="8">
        <v>552</v>
      </c>
      <c r="AD125" s="8">
        <v>552</v>
      </c>
      <c r="AE125" s="8">
        <v>480</v>
      </c>
      <c r="AF125" s="8"/>
    </row>
    <row r="126" spans="1:32">
      <c r="A126" s="31" t="s">
        <v>414</v>
      </c>
      <c r="B126" s="8">
        <v>1599</v>
      </c>
      <c r="C126" s="8">
        <v>1599</v>
      </c>
      <c r="D126" s="8">
        <v>1599</v>
      </c>
      <c r="E126" s="8">
        <v>1599</v>
      </c>
      <c r="F126" s="8">
        <v>1599</v>
      </c>
      <c r="G126" s="8">
        <v>1599</v>
      </c>
      <c r="H126" s="8">
        <v>1599</v>
      </c>
      <c r="I126" s="8">
        <v>1589</v>
      </c>
      <c r="J126" s="8">
        <v>1589</v>
      </c>
      <c r="K126" s="8">
        <v>1589</v>
      </c>
      <c r="L126" s="8">
        <v>1589</v>
      </c>
      <c r="M126" s="8">
        <v>1589</v>
      </c>
      <c r="N126" s="8">
        <v>1589</v>
      </c>
      <c r="O126" s="8">
        <v>1589</v>
      </c>
      <c r="P126" s="8">
        <v>1589</v>
      </c>
      <c r="Q126" s="8">
        <v>3372</v>
      </c>
      <c r="R126" s="8">
        <v>3372</v>
      </c>
      <c r="S126" s="8">
        <v>3372</v>
      </c>
      <c r="T126" s="8">
        <v>3060</v>
      </c>
      <c r="U126" s="8">
        <v>3060</v>
      </c>
      <c r="V126" s="8">
        <v>3060</v>
      </c>
      <c r="W126" s="8">
        <v>3060</v>
      </c>
      <c r="X126" s="8">
        <v>2784</v>
      </c>
      <c r="Y126" s="8">
        <v>2784</v>
      </c>
      <c r="Z126" s="8">
        <v>2784</v>
      </c>
      <c r="AA126" s="8">
        <v>2784</v>
      </c>
      <c r="AB126" s="8">
        <v>2784</v>
      </c>
      <c r="AC126" s="8">
        <v>2784</v>
      </c>
      <c r="AD126" s="8">
        <v>2784</v>
      </c>
      <c r="AE126" s="8">
        <v>2544</v>
      </c>
      <c r="AF126" s="8"/>
    </row>
    <row r="127" spans="1:32">
      <c r="A127" s="31" t="s">
        <v>415</v>
      </c>
      <c r="B127" s="8">
        <v>1199</v>
      </c>
      <c r="C127" s="8">
        <v>1199</v>
      </c>
      <c r="D127" s="8">
        <v>1199</v>
      </c>
      <c r="E127" s="8">
        <v>1199</v>
      </c>
      <c r="F127" s="8">
        <v>1199</v>
      </c>
      <c r="G127" s="8">
        <v>1199</v>
      </c>
      <c r="H127" s="8">
        <v>1199</v>
      </c>
      <c r="I127" s="8">
        <v>1199</v>
      </c>
      <c r="J127" s="8">
        <v>1199</v>
      </c>
      <c r="K127" s="8">
        <v>1199</v>
      </c>
      <c r="L127" s="8">
        <v>1199</v>
      </c>
      <c r="M127" s="8">
        <v>1199</v>
      </c>
      <c r="N127" s="8">
        <v>1199</v>
      </c>
      <c r="O127" s="8">
        <v>1199</v>
      </c>
      <c r="P127" s="8">
        <v>1199</v>
      </c>
      <c r="Q127" s="8">
        <v>2544</v>
      </c>
      <c r="R127" s="8">
        <v>2544</v>
      </c>
      <c r="S127" s="8">
        <v>2544</v>
      </c>
      <c r="T127" s="8">
        <v>2316</v>
      </c>
      <c r="U127" s="8">
        <v>2316</v>
      </c>
      <c r="V127" s="8">
        <v>2316</v>
      </c>
      <c r="W127" s="8">
        <v>2316</v>
      </c>
      <c r="X127" s="8">
        <v>2100</v>
      </c>
      <c r="Y127" s="8">
        <v>2100</v>
      </c>
      <c r="Z127" s="8">
        <v>2100</v>
      </c>
      <c r="AA127" s="8">
        <v>2100</v>
      </c>
      <c r="AB127" s="8">
        <v>2100</v>
      </c>
      <c r="AC127" s="8">
        <v>2100</v>
      </c>
      <c r="AD127" s="8">
        <v>2100</v>
      </c>
      <c r="AE127" s="8">
        <v>1920</v>
      </c>
      <c r="AF127" s="8"/>
    </row>
    <row r="128" spans="1:32">
      <c r="A128" s="31" t="s">
        <v>416</v>
      </c>
      <c r="B128" s="8">
        <v>899</v>
      </c>
      <c r="C128" s="8">
        <v>899</v>
      </c>
      <c r="D128" s="8">
        <v>899</v>
      </c>
      <c r="E128" s="8">
        <v>899</v>
      </c>
      <c r="F128" s="8">
        <v>899</v>
      </c>
      <c r="G128" s="8">
        <v>899</v>
      </c>
      <c r="H128" s="8">
        <v>899</v>
      </c>
      <c r="I128" s="8">
        <v>899</v>
      </c>
      <c r="J128" s="8">
        <v>899</v>
      </c>
      <c r="K128" s="8">
        <v>899</v>
      </c>
      <c r="L128" s="8">
        <v>899</v>
      </c>
      <c r="M128" s="8">
        <v>899</v>
      </c>
      <c r="N128" s="8">
        <v>899</v>
      </c>
      <c r="O128" s="8">
        <v>899</v>
      </c>
      <c r="P128" s="8">
        <v>899</v>
      </c>
      <c r="Q128" s="8">
        <v>1896</v>
      </c>
      <c r="R128" s="8">
        <v>1896</v>
      </c>
      <c r="S128" s="8">
        <v>1896</v>
      </c>
      <c r="T128" s="8">
        <v>1728</v>
      </c>
      <c r="U128" s="8">
        <v>1728</v>
      </c>
      <c r="V128" s="8">
        <v>1728</v>
      </c>
      <c r="W128" s="8">
        <v>1728</v>
      </c>
      <c r="X128" s="8">
        <v>1572</v>
      </c>
      <c r="Y128" s="8">
        <v>1572</v>
      </c>
      <c r="Z128" s="8">
        <v>1572</v>
      </c>
      <c r="AA128" s="8">
        <v>1572</v>
      </c>
      <c r="AB128" s="8">
        <v>1572</v>
      </c>
      <c r="AC128" s="8">
        <v>1572</v>
      </c>
      <c r="AD128" s="8">
        <v>1572</v>
      </c>
      <c r="AE128" s="8">
        <v>1440</v>
      </c>
      <c r="AF128" s="9"/>
    </row>
    <row r="129" spans="1:32">
      <c r="A129" s="31" t="s">
        <v>417</v>
      </c>
      <c r="B129" s="8">
        <v>999</v>
      </c>
      <c r="C129" s="8">
        <v>999</v>
      </c>
      <c r="D129" s="8">
        <v>999</v>
      </c>
      <c r="E129" s="8">
        <v>999</v>
      </c>
      <c r="F129" s="8">
        <v>999</v>
      </c>
      <c r="G129" s="8">
        <v>999</v>
      </c>
      <c r="H129" s="8">
        <v>999</v>
      </c>
      <c r="I129" s="8">
        <v>949</v>
      </c>
      <c r="J129" s="8">
        <v>949</v>
      </c>
      <c r="K129" s="8">
        <v>949</v>
      </c>
      <c r="L129" s="8">
        <v>949</v>
      </c>
      <c r="M129" s="8">
        <v>949</v>
      </c>
      <c r="N129" s="8">
        <v>949</v>
      </c>
      <c r="O129" s="8">
        <v>949</v>
      </c>
      <c r="P129" s="8">
        <v>949</v>
      </c>
      <c r="Q129" s="8">
        <v>1944</v>
      </c>
      <c r="R129" s="8">
        <v>1944</v>
      </c>
      <c r="S129" s="8">
        <v>1944</v>
      </c>
      <c r="T129" s="8">
        <v>1764</v>
      </c>
      <c r="U129" s="8">
        <v>1764</v>
      </c>
      <c r="V129" s="8">
        <v>1764</v>
      </c>
      <c r="W129" s="8">
        <v>1764</v>
      </c>
      <c r="X129" s="8">
        <v>1608</v>
      </c>
      <c r="Y129" s="8">
        <v>1608</v>
      </c>
      <c r="Z129" s="8">
        <v>1608</v>
      </c>
      <c r="AA129" s="8">
        <v>1608</v>
      </c>
      <c r="AB129" s="8">
        <v>1608</v>
      </c>
      <c r="AC129" s="8">
        <v>1608</v>
      </c>
      <c r="AD129" s="8">
        <v>1608</v>
      </c>
      <c r="AE129" s="8">
        <v>1524</v>
      </c>
      <c r="AF129" s="8"/>
    </row>
    <row r="130" spans="1:32">
      <c r="A130" s="31" t="s">
        <v>418</v>
      </c>
      <c r="B130" s="8">
        <v>319</v>
      </c>
      <c r="C130" s="8">
        <v>319</v>
      </c>
      <c r="D130" s="8">
        <v>319</v>
      </c>
      <c r="E130" s="8">
        <v>319</v>
      </c>
      <c r="F130" s="8">
        <v>319</v>
      </c>
      <c r="G130" s="8">
        <v>319</v>
      </c>
      <c r="H130" s="8">
        <v>319</v>
      </c>
      <c r="I130" s="8">
        <v>299</v>
      </c>
      <c r="J130" s="8">
        <v>299</v>
      </c>
      <c r="K130" s="8">
        <v>299</v>
      </c>
      <c r="L130" s="8">
        <v>299</v>
      </c>
      <c r="M130" s="8">
        <v>299</v>
      </c>
      <c r="N130" s="8">
        <v>299</v>
      </c>
      <c r="O130" s="8">
        <v>299</v>
      </c>
      <c r="P130" s="8">
        <v>299</v>
      </c>
      <c r="Q130" s="8">
        <v>672</v>
      </c>
      <c r="R130" s="8">
        <v>672</v>
      </c>
      <c r="S130" s="8">
        <v>672</v>
      </c>
      <c r="T130" s="8">
        <v>612</v>
      </c>
      <c r="U130" s="8">
        <v>612</v>
      </c>
      <c r="V130" s="8">
        <v>612</v>
      </c>
      <c r="W130" s="8">
        <v>612</v>
      </c>
      <c r="X130" s="8">
        <v>552</v>
      </c>
      <c r="Y130" s="8">
        <v>552</v>
      </c>
      <c r="Z130" s="8">
        <v>552</v>
      </c>
      <c r="AA130" s="8">
        <v>552</v>
      </c>
      <c r="AB130" s="8">
        <v>552</v>
      </c>
      <c r="AC130" s="8">
        <v>552</v>
      </c>
      <c r="AD130" s="8">
        <v>552</v>
      </c>
      <c r="AE130" s="8">
        <v>480</v>
      </c>
      <c r="AF130" s="8"/>
    </row>
    <row r="131" spans="1:32">
      <c r="A131" s="23" t="s">
        <v>419</v>
      </c>
      <c r="B131" s="8">
        <v>1069</v>
      </c>
      <c r="C131" s="8">
        <v>1069</v>
      </c>
      <c r="D131" s="8">
        <v>1069</v>
      </c>
      <c r="E131" s="8">
        <v>999</v>
      </c>
      <c r="F131" s="8">
        <v>999</v>
      </c>
      <c r="G131" s="8">
        <v>999</v>
      </c>
      <c r="H131" s="8">
        <v>999</v>
      </c>
      <c r="I131" s="8">
        <v>999</v>
      </c>
      <c r="J131" s="8">
        <v>999</v>
      </c>
      <c r="K131" s="8">
        <v>999</v>
      </c>
      <c r="L131" s="8">
        <v>999</v>
      </c>
      <c r="M131" s="8">
        <v>999</v>
      </c>
      <c r="N131" s="8">
        <v>999</v>
      </c>
      <c r="O131" s="8">
        <v>999</v>
      </c>
      <c r="P131" s="8">
        <v>999</v>
      </c>
      <c r="Q131" s="8">
        <v>2184</v>
      </c>
      <c r="R131" s="8">
        <v>2184</v>
      </c>
      <c r="S131" s="8">
        <v>2184</v>
      </c>
      <c r="T131" s="8">
        <v>1980</v>
      </c>
      <c r="U131" s="8">
        <v>1980</v>
      </c>
      <c r="V131" s="8">
        <v>1980</v>
      </c>
      <c r="W131" s="8">
        <v>1980</v>
      </c>
      <c r="X131" s="8">
        <v>1800</v>
      </c>
      <c r="Y131" s="8">
        <v>1800</v>
      </c>
      <c r="Z131" s="8">
        <v>1800</v>
      </c>
      <c r="AA131" s="8">
        <v>1800</v>
      </c>
      <c r="AB131" s="8">
        <v>1800</v>
      </c>
      <c r="AC131" s="8">
        <v>1800</v>
      </c>
      <c r="AD131" s="8">
        <v>1800</v>
      </c>
      <c r="AE131" s="8">
        <v>1596</v>
      </c>
      <c r="AF131" s="8"/>
    </row>
    <row r="132" spans="1:32">
      <c r="A132" s="23" t="s">
        <v>420</v>
      </c>
      <c r="B132" s="8">
        <v>1999</v>
      </c>
      <c r="C132" s="8">
        <v>1929</v>
      </c>
      <c r="D132" s="8">
        <v>1929</v>
      </c>
      <c r="E132" s="8">
        <v>1929</v>
      </c>
      <c r="F132" s="8">
        <v>1929</v>
      </c>
      <c r="G132" s="8">
        <v>1929</v>
      </c>
      <c r="H132" s="8">
        <v>1929</v>
      </c>
      <c r="I132" s="8">
        <v>1929</v>
      </c>
      <c r="J132" s="8">
        <v>1929</v>
      </c>
      <c r="K132" s="8">
        <v>1929</v>
      </c>
      <c r="L132" s="8">
        <v>1929</v>
      </c>
      <c r="M132" s="8">
        <v>1929</v>
      </c>
      <c r="N132" s="8">
        <v>1929</v>
      </c>
      <c r="O132" s="8">
        <v>1929</v>
      </c>
      <c r="P132" s="8">
        <v>1929</v>
      </c>
      <c r="Q132" s="8">
        <v>3960</v>
      </c>
      <c r="R132" s="8">
        <v>3960</v>
      </c>
      <c r="S132" s="8">
        <v>3960</v>
      </c>
      <c r="T132" s="8">
        <v>3600</v>
      </c>
      <c r="U132" s="8">
        <v>3600</v>
      </c>
      <c r="V132" s="8">
        <v>3600</v>
      </c>
      <c r="W132" s="8">
        <v>3600</v>
      </c>
      <c r="X132" s="8">
        <v>3276</v>
      </c>
      <c r="Y132" s="8">
        <v>3276</v>
      </c>
      <c r="Z132" s="8">
        <v>3276</v>
      </c>
      <c r="AA132" s="8">
        <v>3276</v>
      </c>
      <c r="AB132" s="8">
        <v>3276</v>
      </c>
      <c r="AC132" s="8">
        <v>3276</v>
      </c>
      <c r="AD132" s="8">
        <v>3276</v>
      </c>
      <c r="AE132" s="8">
        <v>3084</v>
      </c>
      <c r="AF132" s="8"/>
    </row>
    <row r="133" spans="1:32">
      <c r="A133" s="23" t="s">
        <v>421</v>
      </c>
      <c r="B133" s="8">
        <v>899</v>
      </c>
      <c r="C133" s="8">
        <v>899</v>
      </c>
      <c r="D133" s="8">
        <v>899</v>
      </c>
      <c r="E133" s="8">
        <v>899</v>
      </c>
      <c r="F133" s="8">
        <v>899</v>
      </c>
      <c r="G133" s="8">
        <v>899</v>
      </c>
      <c r="H133" s="8">
        <v>899</v>
      </c>
      <c r="I133" s="8">
        <v>899</v>
      </c>
      <c r="J133" s="8">
        <v>899</v>
      </c>
      <c r="K133" s="8">
        <v>899</v>
      </c>
      <c r="L133" s="8">
        <v>899</v>
      </c>
      <c r="M133" s="8">
        <v>899</v>
      </c>
      <c r="N133" s="8">
        <v>899</v>
      </c>
      <c r="O133" s="8">
        <v>899</v>
      </c>
      <c r="P133" s="8">
        <v>899</v>
      </c>
      <c r="Q133" s="8">
        <v>1848</v>
      </c>
      <c r="R133" s="8">
        <v>1848</v>
      </c>
      <c r="S133" s="8">
        <v>1848</v>
      </c>
      <c r="T133" s="8">
        <v>1680</v>
      </c>
      <c r="U133" s="8">
        <v>1680</v>
      </c>
      <c r="V133" s="8">
        <v>1680</v>
      </c>
      <c r="W133" s="8">
        <v>1680</v>
      </c>
      <c r="X133" s="8">
        <v>1524</v>
      </c>
      <c r="Y133" s="8">
        <v>1524</v>
      </c>
      <c r="Z133" s="8">
        <v>1524</v>
      </c>
      <c r="AA133" s="8">
        <v>1524</v>
      </c>
      <c r="AB133" s="8">
        <v>1524</v>
      </c>
      <c r="AC133" s="8">
        <v>1524</v>
      </c>
      <c r="AD133" s="8">
        <v>1524</v>
      </c>
      <c r="AE133" s="8">
        <v>1440</v>
      </c>
      <c r="AF133" s="8"/>
    </row>
    <row r="134" spans="1:32">
      <c r="A134" s="23" t="s">
        <v>422</v>
      </c>
      <c r="B134" s="8">
        <v>1039</v>
      </c>
      <c r="C134" s="8">
        <v>1039</v>
      </c>
      <c r="D134" s="8">
        <v>1039</v>
      </c>
      <c r="E134" s="8">
        <v>1039</v>
      </c>
      <c r="F134" s="8">
        <v>1039</v>
      </c>
      <c r="G134" s="8">
        <v>1039</v>
      </c>
      <c r="H134" s="8">
        <v>1039</v>
      </c>
      <c r="I134" s="8">
        <v>1039</v>
      </c>
      <c r="J134" s="8">
        <v>1039</v>
      </c>
      <c r="K134" s="8">
        <v>1039</v>
      </c>
      <c r="L134" s="8">
        <v>1039</v>
      </c>
      <c r="M134" s="8">
        <v>1039</v>
      </c>
      <c r="N134" s="8">
        <v>1039</v>
      </c>
      <c r="O134" s="8">
        <v>1039</v>
      </c>
      <c r="P134" s="8">
        <v>1039</v>
      </c>
      <c r="Q134" s="8">
        <v>2136</v>
      </c>
      <c r="R134" s="8">
        <v>2136</v>
      </c>
      <c r="S134" s="8">
        <v>2136</v>
      </c>
      <c r="T134" s="8">
        <v>1944</v>
      </c>
      <c r="U134" s="8">
        <v>1944</v>
      </c>
      <c r="V134" s="8">
        <v>1944</v>
      </c>
      <c r="W134" s="8">
        <v>1944</v>
      </c>
      <c r="X134" s="8">
        <v>1764</v>
      </c>
      <c r="Y134" s="8">
        <v>1764</v>
      </c>
      <c r="Z134" s="8">
        <v>1764</v>
      </c>
      <c r="AA134" s="8">
        <v>1764</v>
      </c>
      <c r="AB134" s="8">
        <v>1764</v>
      </c>
      <c r="AC134" s="8">
        <v>1764</v>
      </c>
      <c r="AD134" s="8">
        <v>1764</v>
      </c>
      <c r="AE134" s="8">
        <v>1668</v>
      </c>
      <c r="AF134" s="8"/>
    </row>
    <row r="135" spans="1:32">
      <c r="A135" s="23" t="s">
        <v>423</v>
      </c>
      <c r="B135" s="8">
        <v>569</v>
      </c>
      <c r="C135" s="8">
        <v>569</v>
      </c>
      <c r="D135" s="8">
        <v>569</v>
      </c>
      <c r="E135" s="8">
        <v>549</v>
      </c>
      <c r="F135" s="8">
        <v>549</v>
      </c>
      <c r="G135" s="8">
        <v>549</v>
      </c>
      <c r="H135" s="8">
        <v>549</v>
      </c>
      <c r="I135" s="8">
        <v>549</v>
      </c>
      <c r="J135" s="8">
        <v>549</v>
      </c>
      <c r="K135" s="8">
        <v>549</v>
      </c>
      <c r="L135" s="8">
        <v>549</v>
      </c>
      <c r="M135" s="8">
        <v>549</v>
      </c>
      <c r="N135" s="8">
        <v>549</v>
      </c>
      <c r="O135" s="8">
        <v>549</v>
      </c>
      <c r="P135" s="8">
        <v>549</v>
      </c>
      <c r="Q135" s="8">
        <v>1140</v>
      </c>
      <c r="R135" s="8">
        <v>1140</v>
      </c>
      <c r="S135" s="8">
        <v>1140</v>
      </c>
      <c r="T135" s="8">
        <v>1032</v>
      </c>
      <c r="U135" s="8">
        <v>1032</v>
      </c>
      <c r="V135" s="8">
        <v>1032</v>
      </c>
      <c r="W135" s="8">
        <v>1032</v>
      </c>
      <c r="X135" s="8">
        <v>936</v>
      </c>
      <c r="Y135" s="8">
        <v>936</v>
      </c>
      <c r="Z135" s="8">
        <v>936</v>
      </c>
      <c r="AA135" s="8">
        <v>936</v>
      </c>
      <c r="AB135" s="8">
        <v>936</v>
      </c>
      <c r="AC135" s="8">
        <v>936</v>
      </c>
      <c r="AD135" s="8">
        <v>936</v>
      </c>
      <c r="AE135" s="8">
        <v>876</v>
      </c>
      <c r="AF135" s="8"/>
    </row>
    <row r="136" spans="1:32">
      <c r="A136" s="23" t="s">
        <v>424</v>
      </c>
      <c r="B136" s="8">
        <v>1649</v>
      </c>
      <c r="C136" s="8">
        <v>1649</v>
      </c>
      <c r="D136" s="8">
        <v>1649</v>
      </c>
      <c r="E136" s="8">
        <v>1649</v>
      </c>
      <c r="F136" s="8">
        <v>1649</v>
      </c>
      <c r="G136" s="8">
        <v>1649</v>
      </c>
      <c r="H136" s="8">
        <v>1649</v>
      </c>
      <c r="I136" s="8">
        <v>1499</v>
      </c>
      <c r="J136" s="8">
        <v>1499</v>
      </c>
      <c r="K136" s="8">
        <v>1499</v>
      </c>
      <c r="L136" s="8">
        <v>1499</v>
      </c>
      <c r="M136" s="8">
        <v>1499</v>
      </c>
      <c r="N136" s="8">
        <v>1499</v>
      </c>
      <c r="O136" s="8">
        <v>1499</v>
      </c>
      <c r="P136" s="8">
        <v>1499</v>
      </c>
      <c r="Q136" s="8">
        <v>3072</v>
      </c>
      <c r="R136" s="8">
        <v>3072</v>
      </c>
      <c r="S136" s="8">
        <v>3072</v>
      </c>
      <c r="T136" s="8">
        <v>2796</v>
      </c>
      <c r="U136" s="8">
        <v>2796</v>
      </c>
      <c r="V136" s="8">
        <v>2796</v>
      </c>
      <c r="W136" s="8">
        <v>2796</v>
      </c>
      <c r="X136" s="8">
        <v>2544</v>
      </c>
      <c r="Y136" s="8">
        <v>2544</v>
      </c>
      <c r="Z136" s="8">
        <v>2544</v>
      </c>
      <c r="AA136" s="8">
        <v>2544</v>
      </c>
      <c r="AB136" s="8">
        <v>2544</v>
      </c>
      <c r="AC136" s="8">
        <v>2544</v>
      </c>
      <c r="AD136" s="8">
        <v>2544</v>
      </c>
      <c r="AE136" s="8">
        <v>2400</v>
      </c>
      <c r="AF136" s="8"/>
    </row>
    <row r="137" spans="1:32">
      <c r="A137" s="23" t="s">
        <v>425</v>
      </c>
      <c r="B137" s="8">
        <v>789</v>
      </c>
      <c r="C137" s="8">
        <v>789</v>
      </c>
      <c r="D137" s="8">
        <v>789</v>
      </c>
      <c r="E137" s="8">
        <v>789</v>
      </c>
      <c r="F137" s="8">
        <v>789</v>
      </c>
      <c r="G137" s="8">
        <v>789</v>
      </c>
      <c r="H137" s="8">
        <v>789</v>
      </c>
      <c r="I137" s="8">
        <v>699</v>
      </c>
      <c r="J137" s="8">
        <v>699</v>
      </c>
      <c r="K137" s="8">
        <v>699</v>
      </c>
      <c r="L137" s="8">
        <v>699</v>
      </c>
      <c r="M137" s="8">
        <v>699</v>
      </c>
      <c r="N137" s="8">
        <v>699</v>
      </c>
      <c r="O137" s="8">
        <v>699</v>
      </c>
      <c r="P137" s="8">
        <v>699</v>
      </c>
      <c r="Q137" s="8">
        <v>1560</v>
      </c>
      <c r="R137" s="8">
        <v>1560</v>
      </c>
      <c r="S137" s="8">
        <v>1560</v>
      </c>
      <c r="T137" s="8">
        <v>1416</v>
      </c>
      <c r="U137" s="8">
        <v>1416</v>
      </c>
      <c r="V137" s="8">
        <v>1416</v>
      </c>
      <c r="W137" s="8">
        <v>1416</v>
      </c>
      <c r="X137" s="8">
        <v>1284</v>
      </c>
      <c r="Y137" s="8">
        <v>1284</v>
      </c>
      <c r="Z137" s="8">
        <v>1284</v>
      </c>
      <c r="AA137" s="8">
        <v>1284</v>
      </c>
      <c r="AB137" s="8">
        <v>1284</v>
      </c>
      <c r="AC137" s="8">
        <v>1284</v>
      </c>
      <c r="AD137" s="8">
        <v>1284</v>
      </c>
      <c r="AE137" s="8">
        <v>1116</v>
      </c>
      <c r="AF137" s="8"/>
    </row>
    <row r="138" spans="1:32">
      <c r="A138" s="23" t="s">
        <v>426</v>
      </c>
      <c r="B138" s="8">
        <v>939</v>
      </c>
      <c r="C138" s="8">
        <v>939</v>
      </c>
      <c r="D138" s="8">
        <v>939</v>
      </c>
      <c r="E138" s="8">
        <v>859</v>
      </c>
      <c r="F138" s="8">
        <v>859</v>
      </c>
      <c r="G138" s="8">
        <v>859</v>
      </c>
      <c r="H138" s="8">
        <v>859</v>
      </c>
      <c r="I138" s="8">
        <v>829</v>
      </c>
      <c r="J138" s="8">
        <v>829</v>
      </c>
      <c r="K138" s="8">
        <v>829</v>
      </c>
      <c r="L138" s="8">
        <v>829</v>
      </c>
      <c r="M138" s="8">
        <v>829</v>
      </c>
      <c r="N138" s="8">
        <v>829</v>
      </c>
      <c r="O138" s="8">
        <v>829</v>
      </c>
      <c r="P138" s="8">
        <v>829</v>
      </c>
      <c r="Q138" s="8">
        <v>1704</v>
      </c>
      <c r="R138" s="8">
        <v>1704</v>
      </c>
      <c r="S138" s="8">
        <v>1704</v>
      </c>
      <c r="T138" s="8">
        <v>1548</v>
      </c>
      <c r="U138" s="8">
        <v>1548</v>
      </c>
      <c r="V138" s="8">
        <v>1548</v>
      </c>
      <c r="W138" s="8">
        <v>1548</v>
      </c>
      <c r="X138" s="8">
        <v>1404</v>
      </c>
      <c r="Y138" s="8">
        <v>1404</v>
      </c>
      <c r="Z138" s="8">
        <v>1404</v>
      </c>
      <c r="AA138" s="8">
        <v>1404</v>
      </c>
      <c r="AB138" s="8">
        <v>1404</v>
      </c>
      <c r="AC138" s="8">
        <v>1404</v>
      </c>
      <c r="AD138" s="8">
        <v>1404</v>
      </c>
      <c r="AE138" s="8">
        <v>1332</v>
      </c>
      <c r="AF138" s="8"/>
    </row>
    <row r="139" spans="1:32">
      <c r="A139" s="23" t="s">
        <v>427</v>
      </c>
      <c r="B139" s="8">
        <v>909</v>
      </c>
      <c r="C139" s="8">
        <v>739</v>
      </c>
      <c r="D139" s="8">
        <v>739</v>
      </c>
      <c r="E139" s="8">
        <v>739</v>
      </c>
      <c r="F139" s="8">
        <v>739</v>
      </c>
      <c r="G139" s="8">
        <v>739</v>
      </c>
      <c r="H139" s="8">
        <v>739</v>
      </c>
      <c r="I139" s="8">
        <v>739</v>
      </c>
      <c r="J139" s="8">
        <v>739</v>
      </c>
      <c r="K139" s="8">
        <v>739</v>
      </c>
      <c r="L139" s="8">
        <v>739</v>
      </c>
      <c r="M139" s="8">
        <v>739</v>
      </c>
      <c r="N139" s="8">
        <v>739</v>
      </c>
      <c r="O139" s="8">
        <v>739</v>
      </c>
      <c r="P139" s="8">
        <v>739</v>
      </c>
      <c r="Q139" s="8">
        <v>1752</v>
      </c>
      <c r="R139" s="8">
        <v>1752</v>
      </c>
      <c r="S139" s="8">
        <v>1752</v>
      </c>
      <c r="T139" s="8">
        <v>1596</v>
      </c>
      <c r="U139" s="8">
        <v>1596</v>
      </c>
      <c r="V139" s="8">
        <v>1596</v>
      </c>
      <c r="W139" s="8">
        <v>1596</v>
      </c>
      <c r="X139" s="8">
        <v>1452</v>
      </c>
      <c r="Y139" s="8">
        <v>1452</v>
      </c>
      <c r="Z139" s="8">
        <v>1452</v>
      </c>
      <c r="AA139" s="8">
        <v>1452</v>
      </c>
      <c r="AB139" s="8">
        <v>1452</v>
      </c>
      <c r="AC139" s="8">
        <v>1452</v>
      </c>
      <c r="AD139" s="8">
        <v>1452</v>
      </c>
      <c r="AE139" s="8">
        <v>1248</v>
      </c>
      <c r="AF139" s="8"/>
    </row>
    <row r="140" spans="1:32">
      <c r="A140" s="23" t="s">
        <v>428</v>
      </c>
      <c r="B140" s="8">
        <v>619</v>
      </c>
      <c r="C140" s="8">
        <v>619</v>
      </c>
      <c r="D140" s="8">
        <v>619</v>
      </c>
      <c r="E140" s="8">
        <v>619</v>
      </c>
      <c r="F140" s="8">
        <v>619</v>
      </c>
      <c r="G140" s="8">
        <v>619</v>
      </c>
      <c r="H140" s="8">
        <v>619</v>
      </c>
      <c r="I140" s="8">
        <v>559</v>
      </c>
      <c r="J140" s="8">
        <v>559</v>
      </c>
      <c r="K140" s="8">
        <v>559</v>
      </c>
      <c r="L140" s="8">
        <v>559</v>
      </c>
      <c r="M140" s="8">
        <v>559</v>
      </c>
      <c r="N140" s="8">
        <v>559</v>
      </c>
      <c r="O140" s="8">
        <v>559</v>
      </c>
      <c r="P140" s="8">
        <v>559</v>
      </c>
      <c r="Q140" s="8">
        <v>1188</v>
      </c>
      <c r="R140" s="8">
        <v>1188</v>
      </c>
      <c r="S140" s="8">
        <v>1188</v>
      </c>
      <c r="T140" s="8">
        <v>1080</v>
      </c>
      <c r="U140" s="8">
        <v>1080</v>
      </c>
      <c r="V140" s="8">
        <v>1080</v>
      </c>
      <c r="W140" s="8">
        <v>1080</v>
      </c>
      <c r="X140" s="8">
        <v>984</v>
      </c>
      <c r="Y140" s="8">
        <v>984</v>
      </c>
      <c r="Z140" s="8">
        <v>984</v>
      </c>
      <c r="AA140" s="8">
        <v>984</v>
      </c>
      <c r="AB140" s="8">
        <v>984</v>
      </c>
      <c r="AC140" s="8">
        <v>984</v>
      </c>
      <c r="AD140" s="8">
        <v>984</v>
      </c>
      <c r="AE140" s="8">
        <v>900</v>
      </c>
      <c r="AF140" s="8"/>
    </row>
    <row r="141" spans="1:32">
      <c r="A141" s="23" t="s">
        <v>429</v>
      </c>
      <c r="B141" s="8">
        <v>349</v>
      </c>
      <c r="C141" s="8">
        <v>349</v>
      </c>
      <c r="D141" s="8">
        <v>349</v>
      </c>
      <c r="E141" s="8">
        <v>349</v>
      </c>
      <c r="F141" s="8">
        <v>349</v>
      </c>
      <c r="G141" s="8">
        <v>349</v>
      </c>
      <c r="H141" s="8">
        <v>349</v>
      </c>
      <c r="I141" s="8">
        <v>349</v>
      </c>
      <c r="J141" s="8">
        <v>349</v>
      </c>
      <c r="K141" s="8">
        <v>349</v>
      </c>
      <c r="L141" s="8">
        <v>349</v>
      </c>
      <c r="M141" s="8">
        <v>349</v>
      </c>
      <c r="N141" s="8">
        <v>349</v>
      </c>
      <c r="O141" s="8">
        <v>349</v>
      </c>
      <c r="P141" s="8">
        <v>349</v>
      </c>
      <c r="Q141" s="8">
        <v>708</v>
      </c>
      <c r="R141" s="8">
        <v>708</v>
      </c>
      <c r="S141" s="8">
        <v>708</v>
      </c>
      <c r="T141" s="8">
        <v>648</v>
      </c>
      <c r="U141" s="8">
        <v>648</v>
      </c>
      <c r="V141" s="8">
        <v>648</v>
      </c>
      <c r="W141" s="8">
        <v>648</v>
      </c>
      <c r="X141" s="8">
        <v>588</v>
      </c>
      <c r="Y141" s="8">
        <v>588</v>
      </c>
      <c r="Z141" s="8">
        <v>588</v>
      </c>
      <c r="AA141" s="8">
        <v>588</v>
      </c>
      <c r="AB141" s="8">
        <v>588</v>
      </c>
      <c r="AC141" s="8">
        <v>588</v>
      </c>
      <c r="AD141" s="8">
        <v>588</v>
      </c>
      <c r="AE141" s="8">
        <v>564</v>
      </c>
      <c r="AF141" s="8"/>
    </row>
    <row r="142" spans="1:32">
      <c r="A142" s="23" t="s">
        <v>430</v>
      </c>
      <c r="B142" s="8">
        <v>1959</v>
      </c>
      <c r="C142" s="8">
        <v>1699</v>
      </c>
      <c r="D142" s="8">
        <v>1699</v>
      </c>
      <c r="E142" s="8">
        <v>1699</v>
      </c>
      <c r="F142" s="8">
        <v>1699</v>
      </c>
      <c r="G142" s="8">
        <v>1699</v>
      </c>
      <c r="H142" s="8">
        <v>1699</v>
      </c>
      <c r="I142" s="8">
        <v>1699</v>
      </c>
      <c r="J142" s="8">
        <v>1699</v>
      </c>
      <c r="K142" s="8">
        <v>1699</v>
      </c>
      <c r="L142" s="8">
        <v>1699</v>
      </c>
      <c r="M142" s="8">
        <v>1699</v>
      </c>
      <c r="N142" s="8">
        <v>1699</v>
      </c>
      <c r="O142" s="8">
        <v>1699</v>
      </c>
      <c r="P142" s="8">
        <v>1699</v>
      </c>
      <c r="Q142" s="8">
        <v>3504</v>
      </c>
      <c r="R142" s="8">
        <v>3504</v>
      </c>
      <c r="S142" s="8">
        <v>3504</v>
      </c>
      <c r="T142" s="8">
        <v>3180</v>
      </c>
      <c r="U142" s="8">
        <v>3180</v>
      </c>
      <c r="V142" s="8">
        <v>3180</v>
      </c>
      <c r="W142" s="8">
        <v>3180</v>
      </c>
      <c r="X142" s="8">
        <v>2892</v>
      </c>
      <c r="Y142" s="8">
        <v>2892</v>
      </c>
      <c r="Z142" s="8">
        <v>2892</v>
      </c>
      <c r="AA142" s="8">
        <v>2892</v>
      </c>
      <c r="AB142" s="8">
        <v>2892</v>
      </c>
      <c r="AC142" s="8">
        <v>2892</v>
      </c>
      <c r="AD142" s="8">
        <v>2892</v>
      </c>
      <c r="AE142" s="8">
        <v>2724</v>
      </c>
      <c r="AF142" s="8"/>
    </row>
    <row r="143" spans="1:32">
      <c r="A143" s="23" t="s">
        <v>33</v>
      </c>
      <c r="B143" s="8">
        <v>2009</v>
      </c>
      <c r="C143" s="8">
        <v>2009</v>
      </c>
      <c r="D143" s="8">
        <v>2009</v>
      </c>
      <c r="E143" s="8">
        <v>2009</v>
      </c>
      <c r="F143" s="8">
        <v>2009</v>
      </c>
      <c r="G143" s="8">
        <v>2009</v>
      </c>
      <c r="H143" s="8">
        <v>2009</v>
      </c>
      <c r="I143" s="8">
        <v>1749</v>
      </c>
      <c r="J143" s="8">
        <v>1749</v>
      </c>
      <c r="K143" s="8">
        <v>1749</v>
      </c>
      <c r="L143" s="8">
        <v>1749</v>
      </c>
      <c r="M143" s="8">
        <v>1749</v>
      </c>
      <c r="N143" s="8">
        <v>1749</v>
      </c>
      <c r="O143" s="8">
        <v>1749</v>
      </c>
      <c r="P143" s="8">
        <v>1749</v>
      </c>
      <c r="Q143" s="8">
        <v>3804</v>
      </c>
      <c r="R143" s="8">
        <v>3804</v>
      </c>
      <c r="S143" s="8">
        <v>3804</v>
      </c>
      <c r="T143" s="8">
        <v>3456</v>
      </c>
      <c r="U143" s="8">
        <v>3456</v>
      </c>
      <c r="V143" s="8">
        <v>3456</v>
      </c>
      <c r="W143" s="8">
        <v>3456</v>
      </c>
      <c r="X143" s="8">
        <v>3144</v>
      </c>
      <c r="Y143" s="8">
        <v>3144</v>
      </c>
      <c r="Z143" s="8">
        <v>3144</v>
      </c>
      <c r="AA143" s="8">
        <v>3144</v>
      </c>
      <c r="AB143" s="8">
        <v>3144</v>
      </c>
      <c r="AC143" s="8">
        <v>3144</v>
      </c>
      <c r="AD143" s="8">
        <v>3144</v>
      </c>
      <c r="AE143" s="8">
        <v>2796</v>
      </c>
      <c r="AF143" s="8"/>
    </row>
    <row r="144" spans="1:32">
      <c r="A144" s="23" t="s">
        <v>431</v>
      </c>
      <c r="B144" s="8">
        <v>1319</v>
      </c>
      <c r="C144" s="8">
        <v>1279</v>
      </c>
      <c r="D144" s="8">
        <v>1279</v>
      </c>
      <c r="E144" s="8">
        <v>1279</v>
      </c>
      <c r="F144" s="8">
        <v>1279</v>
      </c>
      <c r="G144" s="8">
        <v>1279</v>
      </c>
      <c r="H144" s="8">
        <v>1279</v>
      </c>
      <c r="I144" s="8">
        <v>1279</v>
      </c>
      <c r="J144" s="8">
        <v>1279</v>
      </c>
      <c r="K144" s="8">
        <v>1279</v>
      </c>
      <c r="L144" s="8">
        <v>1279</v>
      </c>
      <c r="M144" s="8">
        <v>1279</v>
      </c>
      <c r="N144" s="8">
        <v>1279</v>
      </c>
      <c r="O144" s="8">
        <v>1279</v>
      </c>
      <c r="P144" s="8">
        <v>1279</v>
      </c>
      <c r="Q144" s="8">
        <v>2628</v>
      </c>
      <c r="R144" s="8">
        <v>2628</v>
      </c>
      <c r="S144" s="8">
        <v>2628</v>
      </c>
      <c r="T144" s="8">
        <v>2388</v>
      </c>
      <c r="U144" s="8">
        <v>2388</v>
      </c>
      <c r="V144" s="8">
        <v>2388</v>
      </c>
      <c r="W144" s="8">
        <v>2388</v>
      </c>
      <c r="X144" s="8">
        <v>2172</v>
      </c>
      <c r="Y144" s="8">
        <v>2172</v>
      </c>
      <c r="Z144" s="8">
        <v>2172</v>
      </c>
      <c r="AA144" s="8">
        <v>2172</v>
      </c>
      <c r="AB144" s="8">
        <v>2172</v>
      </c>
      <c r="AC144" s="8">
        <v>2172</v>
      </c>
      <c r="AD144" s="8">
        <v>2172</v>
      </c>
      <c r="AE144" s="8">
        <v>2052</v>
      </c>
      <c r="AF144" s="8"/>
    </row>
    <row r="145" spans="1:32">
      <c r="A145" s="23" t="s">
        <v>432</v>
      </c>
      <c r="B145" s="8">
        <v>1299</v>
      </c>
      <c r="C145" s="8">
        <v>1109</v>
      </c>
      <c r="D145" s="8">
        <v>1109</v>
      </c>
      <c r="E145" s="8">
        <v>1109</v>
      </c>
      <c r="F145" s="8">
        <v>1109</v>
      </c>
      <c r="G145" s="8">
        <v>1109</v>
      </c>
      <c r="H145" s="8">
        <v>1109</v>
      </c>
      <c r="I145" s="8">
        <v>1109</v>
      </c>
      <c r="J145" s="8">
        <v>1109</v>
      </c>
      <c r="K145" s="8">
        <v>1109</v>
      </c>
      <c r="L145" s="8">
        <v>1109</v>
      </c>
      <c r="M145" s="8">
        <v>1109</v>
      </c>
      <c r="N145" s="8">
        <v>1109</v>
      </c>
      <c r="O145" s="8">
        <v>1109</v>
      </c>
      <c r="P145" s="8">
        <v>1109</v>
      </c>
      <c r="Q145" s="8">
        <v>2280</v>
      </c>
      <c r="R145" s="8">
        <v>2280</v>
      </c>
      <c r="S145" s="8">
        <v>2280</v>
      </c>
      <c r="T145" s="8">
        <v>2076</v>
      </c>
      <c r="U145" s="8">
        <v>2076</v>
      </c>
      <c r="V145" s="8">
        <v>2076</v>
      </c>
      <c r="W145" s="8">
        <v>2076</v>
      </c>
      <c r="X145" s="8">
        <v>1884</v>
      </c>
      <c r="Y145" s="8">
        <v>1884</v>
      </c>
      <c r="Z145" s="8">
        <v>1884</v>
      </c>
      <c r="AA145" s="8">
        <v>1884</v>
      </c>
      <c r="AB145" s="8">
        <v>1884</v>
      </c>
      <c r="AC145" s="8">
        <v>1884</v>
      </c>
      <c r="AD145" s="8">
        <v>1884</v>
      </c>
      <c r="AE145" s="8">
        <v>1776</v>
      </c>
      <c r="AF145" s="8"/>
    </row>
    <row r="146" spans="1:32">
      <c r="A146" s="23" t="s">
        <v>449</v>
      </c>
      <c r="B146" s="8">
        <v>539</v>
      </c>
      <c r="C146" s="8">
        <v>519</v>
      </c>
      <c r="D146" s="8">
        <v>519</v>
      </c>
      <c r="E146" s="8">
        <v>519</v>
      </c>
      <c r="F146" s="8">
        <v>519</v>
      </c>
      <c r="G146" s="8">
        <v>519</v>
      </c>
      <c r="H146" s="8">
        <v>519</v>
      </c>
      <c r="I146" s="8">
        <v>519</v>
      </c>
      <c r="J146" s="8">
        <v>519</v>
      </c>
      <c r="K146" s="8">
        <v>519</v>
      </c>
      <c r="L146" s="8">
        <v>519</v>
      </c>
      <c r="M146" s="8">
        <v>519</v>
      </c>
      <c r="N146" s="8">
        <v>519</v>
      </c>
      <c r="O146" s="8">
        <v>519</v>
      </c>
      <c r="P146" s="8">
        <v>519</v>
      </c>
      <c r="Q146" s="8">
        <v>1068</v>
      </c>
      <c r="R146" s="8">
        <v>1068</v>
      </c>
      <c r="S146" s="8">
        <v>1068</v>
      </c>
      <c r="T146" s="8">
        <v>972</v>
      </c>
      <c r="U146" s="8">
        <v>972</v>
      </c>
      <c r="V146" s="8">
        <v>972</v>
      </c>
      <c r="W146" s="8">
        <v>972</v>
      </c>
      <c r="X146" s="8">
        <v>888</v>
      </c>
      <c r="Y146" s="8">
        <v>888</v>
      </c>
      <c r="Z146" s="8">
        <v>888</v>
      </c>
      <c r="AA146" s="8">
        <v>888</v>
      </c>
      <c r="AB146" s="8">
        <v>888</v>
      </c>
      <c r="AC146" s="8">
        <v>888</v>
      </c>
      <c r="AD146" s="8">
        <v>888</v>
      </c>
      <c r="AE146" s="8">
        <v>828</v>
      </c>
      <c r="AF146" s="8"/>
    </row>
    <row r="147" spans="1:32">
      <c r="A147" s="23" t="s">
        <v>457</v>
      </c>
      <c r="B147" s="8">
        <v>419</v>
      </c>
      <c r="C147" s="8">
        <v>419</v>
      </c>
      <c r="D147" s="8">
        <v>419</v>
      </c>
      <c r="E147" s="8">
        <v>419</v>
      </c>
      <c r="F147" s="8">
        <v>419</v>
      </c>
      <c r="G147" s="8">
        <v>419</v>
      </c>
      <c r="H147" s="8">
        <v>419</v>
      </c>
      <c r="I147" s="8">
        <v>399</v>
      </c>
      <c r="J147" s="8">
        <v>399</v>
      </c>
      <c r="K147" s="8">
        <v>399</v>
      </c>
      <c r="L147" s="8">
        <v>399</v>
      </c>
      <c r="M147" s="8">
        <v>399</v>
      </c>
      <c r="N147" s="8">
        <v>399</v>
      </c>
      <c r="O147" s="8">
        <v>399</v>
      </c>
      <c r="P147" s="8">
        <v>399</v>
      </c>
      <c r="Q147" s="8">
        <v>840</v>
      </c>
      <c r="R147" s="8">
        <v>840</v>
      </c>
      <c r="S147" s="8">
        <v>840</v>
      </c>
      <c r="T147" s="8">
        <v>768</v>
      </c>
      <c r="U147" s="8">
        <v>768</v>
      </c>
      <c r="V147" s="8">
        <v>768</v>
      </c>
      <c r="W147" s="8">
        <v>768</v>
      </c>
      <c r="X147" s="8">
        <v>696</v>
      </c>
      <c r="Y147" s="8">
        <v>696</v>
      </c>
      <c r="Z147" s="8">
        <v>696</v>
      </c>
      <c r="AA147" s="8">
        <v>696</v>
      </c>
      <c r="AB147" s="8">
        <v>696</v>
      </c>
      <c r="AC147" s="8">
        <v>696</v>
      </c>
      <c r="AD147" s="8">
        <v>696</v>
      </c>
      <c r="AE147" s="8">
        <v>636</v>
      </c>
      <c r="AF147" s="8"/>
    </row>
    <row r="148" spans="1:32">
      <c r="A148" s="23" t="s">
        <v>458</v>
      </c>
      <c r="B148" s="8">
        <v>469</v>
      </c>
      <c r="C148" s="8">
        <v>469</v>
      </c>
      <c r="D148" s="8">
        <v>469</v>
      </c>
      <c r="E148" s="8">
        <v>469</v>
      </c>
      <c r="F148" s="8">
        <v>469</v>
      </c>
      <c r="G148" s="8">
        <v>469</v>
      </c>
      <c r="H148" s="8">
        <v>469</v>
      </c>
      <c r="I148" s="8">
        <v>469</v>
      </c>
      <c r="J148" s="8">
        <v>469</v>
      </c>
      <c r="K148" s="8">
        <v>469</v>
      </c>
      <c r="L148" s="8">
        <v>469</v>
      </c>
      <c r="M148" s="8">
        <v>469</v>
      </c>
      <c r="N148" s="8">
        <v>469</v>
      </c>
      <c r="O148" s="8">
        <v>469</v>
      </c>
      <c r="P148" s="8">
        <v>469</v>
      </c>
      <c r="Q148" s="8">
        <v>960</v>
      </c>
      <c r="R148" s="8">
        <v>960</v>
      </c>
      <c r="S148" s="8">
        <v>960</v>
      </c>
      <c r="T148" s="8">
        <v>876</v>
      </c>
      <c r="U148" s="8">
        <v>876</v>
      </c>
      <c r="V148" s="8">
        <v>876</v>
      </c>
      <c r="W148" s="8">
        <v>876</v>
      </c>
      <c r="X148" s="8">
        <v>792</v>
      </c>
      <c r="Y148" s="8">
        <v>792</v>
      </c>
      <c r="Z148" s="8">
        <v>792</v>
      </c>
      <c r="AA148" s="8">
        <v>792</v>
      </c>
      <c r="AB148" s="8">
        <v>792</v>
      </c>
      <c r="AC148" s="8">
        <v>792</v>
      </c>
      <c r="AD148" s="8">
        <v>792</v>
      </c>
      <c r="AE148" s="8">
        <v>756</v>
      </c>
      <c r="AF148" s="8"/>
    </row>
    <row r="149" spans="1:32">
      <c r="A149" s="23" t="s">
        <v>527</v>
      </c>
      <c r="B149" s="8">
        <v>2449</v>
      </c>
      <c r="C149" s="8">
        <v>2109</v>
      </c>
      <c r="D149" s="8">
        <v>2109</v>
      </c>
      <c r="E149" s="8">
        <v>2109</v>
      </c>
      <c r="F149" s="8">
        <v>2109</v>
      </c>
      <c r="G149" s="8">
        <v>2109</v>
      </c>
      <c r="H149" s="8">
        <v>2109</v>
      </c>
      <c r="I149" s="8">
        <v>2109</v>
      </c>
      <c r="J149" s="8">
        <v>2109</v>
      </c>
      <c r="K149" s="8">
        <v>2109</v>
      </c>
      <c r="L149" s="8">
        <v>2109</v>
      </c>
      <c r="M149" s="8">
        <v>2109</v>
      </c>
      <c r="N149" s="8">
        <v>2109</v>
      </c>
      <c r="O149" s="8">
        <v>2109</v>
      </c>
      <c r="P149" s="8">
        <v>2109</v>
      </c>
      <c r="Q149" s="8">
        <v>4476</v>
      </c>
      <c r="R149" s="8">
        <v>4476</v>
      </c>
      <c r="S149" s="8">
        <v>4476</v>
      </c>
      <c r="T149" s="8">
        <v>4068</v>
      </c>
      <c r="U149" s="8">
        <v>4068</v>
      </c>
      <c r="V149" s="8">
        <v>4068</v>
      </c>
      <c r="W149" s="8">
        <v>4068</v>
      </c>
      <c r="X149" s="8">
        <v>3696</v>
      </c>
      <c r="Y149" s="8">
        <v>3696</v>
      </c>
      <c r="Z149" s="8">
        <v>3696</v>
      </c>
      <c r="AA149" s="8">
        <v>3696</v>
      </c>
      <c r="AB149" s="8">
        <v>3696</v>
      </c>
      <c r="AC149" s="8">
        <v>3696</v>
      </c>
      <c r="AD149" s="8">
        <v>3696</v>
      </c>
      <c r="AE149" s="8">
        <v>3372</v>
      </c>
      <c r="AF149" s="8"/>
    </row>
    <row r="150" spans="1:32">
      <c r="A150" s="23" t="s">
        <v>528</v>
      </c>
      <c r="B150" s="8">
        <v>3339</v>
      </c>
      <c r="C150" s="8">
        <v>2909</v>
      </c>
      <c r="D150" s="8">
        <v>2909</v>
      </c>
      <c r="E150" s="8">
        <v>2909</v>
      </c>
      <c r="F150" s="8">
        <v>2909</v>
      </c>
      <c r="G150" s="8">
        <v>2909</v>
      </c>
      <c r="H150" s="8">
        <v>2909</v>
      </c>
      <c r="I150" s="8">
        <v>2779</v>
      </c>
      <c r="J150" s="8">
        <v>2779</v>
      </c>
      <c r="K150" s="8">
        <v>2779</v>
      </c>
      <c r="L150" s="8">
        <v>2779</v>
      </c>
      <c r="M150" s="8">
        <v>2779</v>
      </c>
      <c r="N150" s="8">
        <v>2779</v>
      </c>
      <c r="O150" s="8">
        <v>2779</v>
      </c>
      <c r="P150" s="8">
        <v>2779</v>
      </c>
      <c r="Q150" s="8">
        <v>5892</v>
      </c>
      <c r="R150" s="8">
        <v>5892</v>
      </c>
      <c r="S150" s="8">
        <v>5892</v>
      </c>
      <c r="T150" s="8">
        <v>5352</v>
      </c>
      <c r="U150" s="8">
        <v>5352</v>
      </c>
      <c r="V150" s="8">
        <v>5352</v>
      </c>
      <c r="W150" s="8">
        <v>5352</v>
      </c>
      <c r="X150" s="8">
        <v>4860</v>
      </c>
      <c r="Y150" s="8">
        <v>4860</v>
      </c>
      <c r="Z150" s="8">
        <v>4860</v>
      </c>
      <c r="AA150" s="8">
        <v>4860</v>
      </c>
      <c r="AB150" s="8">
        <v>4860</v>
      </c>
      <c r="AC150" s="8">
        <v>4860</v>
      </c>
      <c r="AD150" s="8">
        <v>4860</v>
      </c>
      <c r="AE150" s="8">
        <v>4452</v>
      </c>
      <c r="AF150" s="8"/>
    </row>
    <row r="151" spans="1:32">
      <c r="A151" s="23" t="s">
        <v>529</v>
      </c>
      <c r="B151" s="8">
        <v>299</v>
      </c>
      <c r="C151" s="8">
        <v>299</v>
      </c>
      <c r="D151" s="8">
        <v>299</v>
      </c>
      <c r="E151" s="8">
        <v>299</v>
      </c>
      <c r="F151" s="8">
        <v>299</v>
      </c>
      <c r="G151" s="8">
        <v>299</v>
      </c>
      <c r="H151" s="8">
        <v>299</v>
      </c>
      <c r="I151" s="8">
        <v>299</v>
      </c>
      <c r="J151" s="8">
        <v>299</v>
      </c>
      <c r="K151" s="8">
        <v>299</v>
      </c>
      <c r="L151" s="8">
        <v>299</v>
      </c>
      <c r="M151" s="8">
        <v>299</v>
      </c>
      <c r="N151" s="8">
        <v>299</v>
      </c>
      <c r="O151" s="8">
        <v>299</v>
      </c>
      <c r="P151" s="8">
        <v>299</v>
      </c>
      <c r="Q151" s="8">
        <v>612</v>
      </c>
      <c r="R151" s="8">
        <v>612</v>
      </c>
      <c r="S151" s="8">
        <v>612</v>
      </c>
      <c r="T151" s="8">
        <v>552</v>
      </c>
      <c r="U151" s="8">
        <v>552</v>
      </c>
      <c r="V151" s="8">
        <v>552</v>
      </c>
      <c r="W151" s="8">
        <v>552</v>
      </c>
      <c r="X151" s="8">
        <v>504</v>
      </c>
      <c r="Y151" s="8">
        <v>504</v>
      </c>
      <c r="Z151" s="8">
        <v>504</v>
      </c>
      <c r="AA151" s="8">
        <v>504</v>
      </c>
      <c r="AB151" s="8">
        <v>504</v>
      </c>
      <c r="AC151" s="8">
        <v>504</v>
      </c>
      <c r="AD151" s="8">
        <v>504</v>
      </c>
      <c r="AE151" s="8">
        <v>480</v>
      </c>
      <c r="AF151" s="9"/>
    </row>
    <row r="152" spans="1:32">
      <c r="A152" s="24" t="s">
        <v>574</v>
      </c>
      <c r="B152" s="8">
        <v>759</v>
      </c>
      <c r="C152" s="8">
        <v>729</v>
      </c>
      <c r="D152" s="8">
        <v>729</v>
      </c>
      <c r="E152" s="8">
        <v>729</v>
      </c>
      <c r="F152" s="8">
        <v>729</v>
      </c>
      <c r="G152" s="8">
        <v>729</v>
      </c>
      <c r="H152" s="8">
        <v>729</v>
      </c>
      <c r="I152" s="8">
        <v>699</v>
      </c>
      <c r="J152" s="8">
        <v>699</v>
      </c>
      <c r="K152" s="8">
        <v>699</v>
      </c>
      <c r="L152" s="8">
        <v>699</v>
      </c>
      <c r="M152" s="8">
        <v>699</v>
      </c>
      <c r="N152" s="8">
        <v>699</v>
      </c>
      <c r="O152" s="8">
        <v>699</v>
      </c>
      <c r="P152" s="8">
        <v>699</v>
      </c>
      <c r="Q152" s="8">
        <v>1774</v>
      </c>
      <c r="R152" s="8">
        <v>1774</v>
      </c>
      <c r="S152" s="8">
        <v>1774</v>
      </c>
      <c r="T152" s="8">
        <v>1618</v>
      </c>
      <c r="U152" s="8">
        <v>1618</v>
      </c>
      <c r="V152" s="8">
        <v>1618</v>
      </c>
      <c r="W152" s="8">
        <v>1618</v>
      </c>
      <c r="X152" s="8">
        <v>1474</v>
      </c>
      <c r="Y152" s="8">
        <v>1474</v>
      </c>
      <c r="Z152" s="8">
        <v>1474</v>
      </c>
      <c r="AA152" s="8">
        <v>1474</v>
      </c>
      <c r="AB152" s="8">
        <v>1474</v>
      </c>
      <c r="AC152" s="8">
        <v>1474</v>
      </c>
      <c r="AD152" s="8">
        <v>1474</v>
      </c>
      <c r="AE152" s="8">
        <v>1306</v>
      </c>
      <c r="AF152" s="8"/>
    </row>
    <row r="153" spans="1:32">
      <c r="A153" s="24" t="s">
        <v>575</v>
      </c>
      <c r="B153" s="8">
        <v>759</v>
      </c>
      <c r="C153" s="8">
        <v>729</v>
      </c>
      <c r="D153" s="8">
        <v>729</v>
      </c>
      <c r="E153" s="8">
        <v>729</v>
      </c>
      <c r="F153" s="8">
        <v>729</v>
      </c>
      <c r="G153" s="8">
        <v>729</v>
      </c>
      <c r="H153" s="8">
        <v>729</v>
      </c>
      <c r="I153" s="8">
        <v>699</v>
      </c>
      <c r="J153" s="8">
        <v>699</v>
      </c>
      <c r="K153" s="8">
        <v>699</v>
      </c>
      <c r="L153" s="8">
        <v>699</v>
      </c>
      <c r="M153" s="8">
        <v>699</v>
      </c>
      <c r="N153" s="8">
        <v>699</v>
      </c>
      <c r="O153" s="8">
        <v>699</v>
      </c>
      <c r="P153" s="8">
        <v>699</v>
      </c>
      <c r="Q153" s="8">
        <v>1774</v>
      </c>
      <c r="R153" s="8">
        <v>1774</v>
      </c>
      <c r="S153" s="8">
        <v>1774</v>
      </c>
      <c r="T153" s="8">
        <v>1618</v>
      </c>
      <c r="U153" s="8">
        <v>1618</v>
      </c>
      <c r="V153" s="8">
        <v>1618</v>
      </c>
      <c r="W153" s="8">
        <v>1618</v>
      </c>
      <c r="X153" s="8">
        <v>1474</v>
      </c>
      <c r="Y153" s="8">
        <v>1474</v>
      </c>
      <c r="Z153" s="8">
        <v>1474</v>
      </c>
      <c r="AA153" s="8">
        <v>1474</v>
      </c>
      <c r="AB153" s="8">
        <v>1474</v>
      </c>
      <c r="AC153" s="8">
        <v>1474</v>
      </c>
      <c r="AD153" s="8">
        <v>1474</v>
      </c>
      <c r="AE153" s="8">
        <v>1306</v>
      </c>
      <c r="AF153" s="8"/>
    </row>
    <row r="154" spans="1:32">
      <c r="A154" s="24" t="s">
        <v>576</v>
      </c>
      <c r="B154" s="8">
        <v>919</v>
      </c>
      <c r="C154" s="8">
        <v>919</v>
      </c>
      <c r="D154" s="8">
        <v>919</v>
      </c>
      <c r="E154" s="8">
        <v>919</v>
      </c>
      <c r="F154" s="8">
        <v>919</v>
      </c>
      <c r="G154" s="8">
        <v>919</v>
      </c>
      <c r="H154" s="8">
        <v>919</v>
      </c>
      <c r="I154" s="8">
        <v>899</v>
      </c>
      <c r="J154" s="8">
        <v>899</v>
      </c>
      <c r="K154" s="8">
        <v>899</v>
      </c>
      <c r="L154" s="8">
        <v>899</v>
      </c>
      <c r="M154" s="8">
        <v>899</v>
      </c>
      <c r="N154" s="8">
        <v>899</v>
      </c>
      <c r="O154" s="8">
        <v>899</v>
      </c>
      <c r="P154" s="8">
        <v>899</v>
      </c>
      <c r="Q154" s="8">
        <v>2112</v>
      </c>
      <c r="R154" s="8">
        <v>2112</v>
      </c>
      <c r="S154" s="8">
        <v>2112</v>
      </c>
      <c r="T154" s="8">
        <v>1932</v>
      </c>
      <c r="U154" s="8">
        <v>1932</v>
      </c>
      <c r="V154" s="8">
        <v>1932</v>
      </c>
      <c r="W154" s="8">
        <v>1932</v>
      </c>
      <c r="X154" s="8">
        <v>1764</v>
      </c>
      <c r="Y154" s="8">
        <v>1764</v>
      </c>
      <c r="Z154" s="8">
        <v>1764</v>
      </c>
      <c r="AA154" s="8">
        <v>1764</v>
      </c>
      <c r="AB154" s="8">
        <v>1764</v>
      </c>
      <c r="AC154" s="8">
        <v>1764</v>
      </c>
      <c r="AD154" s="8">
        <v>1764</v>
      </c>
      <c r="AE154" s="8">
        <v>1536</v>
      </c>
      <c r="AF154" s="8"/>
    </row>
    <row r="155" spans="1:32">
      <c r="A155" s="24" t="s">
        <v>577</v>
      </c>
      <c r="B155" s="8">
        <v>6159</v>
      </c>
      <c r="C155" s="8">
        <v>6159</v>
      </c>
      <c r="D155" s="8">
        <v>6159</v>
      </c>
      <c r="E155" s="8">
        <v>6159</v>
      </c>
      <c r="F155" s="8">
        <v>6159</v>
      </c>
      <c r="G155" s="8">
        <v>6159</v>
      </c>
      <c r="H155" s="8">
        <v>6159</v>
      </c>
      <c r="I155" s="8">
        <v>5269</v>
      </c>
      <c r="J155" s="8">
        <v>5269</v>
      </c>
      <c r="K155" s="8">
        <v>5269</v>
      </c>
      <c r="L155" s="8">
        <v>5269</v>
      </c>
      <c r="M155" s="8">
        <v>5269</v>
      </c>
      <c r="N155" s="8">
        <v>5269</v>
      </c>
      <c r="O155" s="8">
        <v>5269</v>
      </c>
      <c r="P155" s="8">
        <v>5269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8">
        <v>9342</v>
      </c>
      <c r="Y155" s="8">
        <v>9342</v>
      </c>
      <c r="Z155" s="8">
        <v>9342</v>
      </c>
      <c r="AA155" s="8">
        <v>9342</v>
      </c>
      <c r="AB155" s="8">
        <v>9342</v>
      </c>
      <c r="AC155" s="8">
        <v>9342</v>
      </c>
      <c r="AD155" s="8">
        <v>9342</v>
      </c>
      <c r="AE155" s="8">
        <v>8358</v>
      </c>
      <c r="AF155" s="8"/>
    </row>
    <row r="156" spans="1:32">
      <c r="A156" s="24" t="s">
        <v>578</v>
      </c>
      <c r="B156" s="8">
        <v>4619</v>
      </c>
      <c r="C156" s="8">
        <v>4619</v>
      </c>
      <c r="D156" s="8">
        <v>4619</v>
      </c>
      <c r="E156" s="8">
        <v>3759</v>
      </c>
      <c r="F156" s="8">
        <v>3759</v>
      </c>
      <c r="G156" s="8">
        <v>3759</v>
      </c>
      <c r="H156" s="8">
        <v>3759</v>
      </c>
      <c r="I156" s="8">
        <v>3579</v>
      </c>
      <c r="J156" s="8">
        <v>3579</v>
      </c>
      <c r="K156" s="8">
        <v>3579</v>
      </c>
      <c r="L156" s="8">
        <v>3579</v>
      </c>
      <c r="M156" s="8">
        <v>3579</v>
      </c>
      <c r="N156" s="8">
        <v>3579</v>
      </c>
      <c r="O156" s="8">
        <v>3579</v>
      </c>
      <c r="P156" s="8">
        <v>3579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8">
        <v>6084</v>
      </c>
      <c r="Y156" s="8">
        <v>6084</v>
      </c>
      <c r="Z156" s="8">
        <v>6084</v>
      </c>
      <c r="AA156" s="8">
        <v>6084</v>
      </c>
      <c r="AB156" s="8">
        <v>6084</v>
      </c>
      <c r="AC156" s="8">
        <v>6084</v>
      </c>
      <c r="AD156" s="8">
        <v>6084</v>
      </c>
      <c r="AE156" s="8">
        <v>5724</v>
      </c>
      <c r="AF156" s="8"/>
    </row>
    <row r="157" spans="1:32">
      <c r="A157" s="24" t="s">
        <v>579</v>
      </c>
      <c r="B157" s="8">
        <v>6349</v>
      </c>
      <c r="C157" s="8">
        <v>6349</v>
      </c>
      <c r="D157" s="8">
        <v>6349</v>
      </c>
      <c r="E157" s="8">
        <v>5649</v>
      </c>
      <c r="F157" s="8">
        <v>5649</v>
      </c>
      <c r="G157" s="8">
        <v>5649</v>
      </c>
      <c r="H157" s="8">
        <v>5649</v>
      </c>
      <c r="I157" s="8">
        <v>4977</v>
      </c>
      <c r="J157" s="8">
        <v>4977</v>
      </c>
      <c r="K157" s="8">
        <v>4977</v>
      </c>
      <c r="L157" s="8">
        <v>4977</v>
      </c>
      <c r="M157" s="8">
        <v>4977</v>
      </c>
      <c r="N157" s="8">
        <v>4977</v>
      </c>
      <c r="O157" s="8">
        <v>4977</v>
      </c>
      <c r="P157" s="8">
        <v>4977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8">
        <v>8460</v>
      </c>
      <c r="Y157" s="8">
        <v>8460</v>
      </c>
      <c r="Z157" s="8">
        <v>8460</v>
      </c>
      <c r="AA157" s="8">
        <v>8460</v>
      </c>
      <c r="AB157" s="8">
        <v>8460</v>
      </c>
      <c r="AC157" s="8">
        <v>8460</v>
      </c>
      <c r="AD157" s="8">
        <v>8460</v>
      </c>
      <c r="AE157" s="8">
        <v>7968</v>
      </c>
      <c r="AF157" s="8"/>
    </row>
    <row r="158" spans="1:32">
      <c r="A158" s="24" t="s">
        <v>580</v>
      </c>
      <c r="B158" s="8">
        <v>6929</v>
      </c>
      <c r="C158" s="8">
        <v>6929</v>
      </c>
      <c r="D158" s="8">
        <v>6929</v>
      </c>
      <c r="E158" s="8">
        <v>6159</v>
      </c>
      <c r="F158" s="8">
        <v>6159</v>
      </c>
      <c r="G158" s="8">
        <v>6159</v>
      </c>
      <c r="H158" s="8">
        <v>6159</v>
      </c>
      <c r="I158" s="8">
        <v>5419</v>
      </c>
      <c r="J158" s="8">
        <v>5419</v>
      </c>
      <c r="K158" s="8">
        <v>5419</v>
      </c>
      <c r="L158" s="8">
        <v>5419</v>
      </c>
      <c r="M158" s="8">
        <v>5419</v>
      </c>
      <c r="N158" s="8">
        <v>5419</v>
      </c>
      <c r="O158" s="8">
        <v>5419</v>
      </c>
      <c r="P158" s="8">
        <v>5419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8">
        <v>9216</v>
      </c>
      <c r="Y158" s="8">
        <v>9216</v>
      </c>
      <c r="Z158" s="8">
        <v>9216</v>
      </c>
      <c r="AA158" s="8">
        <v>9216</v>
      </c>
      <c r="AB158" s="8">
        <v>9216</v>
      </c>
      <c r="AC158" s="8">
        <v>9216</v>
      </c>
      <c r="AD158" s="8">
        <v>9216</v>
      </c>
      <c r="AE158" s="8">
        <v>8676</v>
      </c>
      <c r="AF158" s="8"/>
    </row>
    <row r="159" spans="1:32">
      <c r="A159" s="24" t="s">
        <v>581</v>
      </c>
      <c r="B159" s="8">
        <v>4699</v>
      </c>
      <c r="C159" s="8">
        <v>4699</v>
      </c>
      <c r="D159" s="8">
        <v>4699</v>
      </c>
      <c r="E159" s="8">
        <v>4699</v>
      </c>
      <c r="F159" s="8">
        <v>4699</v>
      </c>
      <c r="G159" s="8">
        <v>4699</v>
      </c>
      <c r="H159" s="8">
        <v>4699</v>
      </c>
      <c r="I159" s="8">
        <v>4279</v>
      </c>
      <c r="J159" s="8">
        <v>4279</v>
      </c>
      <c r="K159" s="8">
        <v>4279</v>
      </c>
      <c r="L159" s="8">
        <v>4279</v>
      </c>
      <c r="M159" s="8">
        <v>4279</v>
      </c>
      <c r="N159" s="8">
        <v>4279</v>
      </c>
      <c r="O159" s="8">
        <v>4279</v>
      </c>
      <c r="P159" s="8">
        <v>4279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8">
        <v>8484</v>
      </c>
      <c r="Y159" s="8">
        <v>8484</v>
      </c>
      <c r="Z159" s="8">
        <v>8484</v>
      </c>
      <c r="AA159" s="8">
        <v>8484</v>
      </c>
      <c r="AB159" s="8">
        <v>8484</v>
      </c>
      <c r="AC159" s="8">
        <v>8484</v>
      </c>
      <c r="AD159" s="8">
        <v>8484</v>
      </c>
      <c r="AE159" s="8">
        <v>7260</v>
      </c>
      <c r="AF159" s="8"/>
    </row>
    <row r="160" spans="1:32">
      <c r="A160" s="24" t="s">
        <v>582</v>
      </c>
      <c r="B160" s="8">
        <v>679</v>
      </c>
      <c r="C160" s="8">
        <v>679</v>
      </c>
      <c r="D160" s="8">
        <v>679</v>
      </c>
      <c r="E160" s="8">
        <v>639</v>
      </c>
      <c r="F160" s="8">
        <v>639</v>
      </c>
      <c r="G160" s="8">
        <v>639</v>
      </c>
      <c r="H160" s="8">
        <v>639</v>
      </c>
      <c r="I160" s="8">
        <v>639</v>
      </c>
      <c r="J160" s="8">
        <v>639</v>
      </c>
      <c r="K160" s="8">
        <v>639</v>
      </c>
      <c r="L160" s="8">
        <v>639</v>
      </c>
      <c r="M160" s="8">
        <v>639</v>
      </c>
      <c r="N160" s="8">
        <v>639</v>
      </c>
      <c r="O160" s="8">
        <v>639</v>
      </c>
      <c r="P160" s="8">
        <v>639</v>
      </c>
      <c r="Q160" s="8">
        <v>1452</v>
      </c>
      <c r="R160" s="8">
        <v>1452</v>
      </c>
      <c r="S160" s="8">
        <v>1452</v>
      </c>
      <c r="T160" s="8">
        <v>1320</v>
      </c>
      <c r="U160" s="8">
        <v>1320</v>
      </c>
      <c r="V160" s="8">
        <v>1320</v>
      </c>
      <c r="W160" s="8">
        <v>1320</v>
      </c>
      <c r="X160" s="8">
        <v>1200</v>
      </c>
      <c r="Y160" s="8">
        <v>1200</v>
      </c>
      <c r="Z160" s="8">
        <v>1200</v>
      </c>
      <c r="AA160" s="8">
        <v>1200</v>
      </c>
      <c r="AB160" s="8">
        <v>1200</v>
      </c>
      <c r="AC160" s="8">
        <v>1200</v>
      </c>
      <c r="AD160" s="8">
        <v>1200</v>
      </c>
      <c r="AE160" s="8">
        <v>1020</v>
      </c>
      <c r="AF160" s="8"/>
    </row>
    <row r="161" spans="1:32">
      <c r="A161" s="24" t="s">
        <v>583</v>
      </c>
      <c r="B161" s="8">
        <v>2749</v>
      </c>
      <c r="C161" s="8">
        <v>2749</v>
      </c>
      <c r="D161" s="8">
        <v>2749</v>
      </c>
      <c r="E161" s="8">
        <v>2569</v>
      </c>
      <c r="F161" s="8">
        <v>2569</v>
      </c>
      <c r="G161" s="8">
        <v>2569</v>
      </c>
      <c r="H161" s="8">
        <v>2569</v>
      </c>
      <c r="I161" s="8">
        <v>2569</v>
      </c>
      <c r="J161" s="8">
        <v>2569</v>
      </c>
      <c r="K161" s="8">
        <v>2569</v>
      </c>
      <c r="L161" s="8">
        <v>2569</v>
      </c>
      <c r="M161" s="8">
        <v>2569</v>
      </c>
      <c r="N161" s="8">
        <v>2569</v>
      </c>
      <c r="O161" s="8">
        <v>2569</v>
      </c>
      <c r="P161" s="8">
        <v>2569</v>
      </c>
      <c r="Q161" s="8">
        <v>5280</v>
      </c>
      <c r="R161" s="8">
        <v>5280</v>
      </c>
      <c r="S161" s="8">
        <v>5280</v>
      </c>
      <c r="T161" s="8">
        <v>4800</v>
      </c>
      <c r="U161" s="8">
        <v>4800</v>
      </c>
      <c r="V161" s="8">
        <v>4800</v>
      </c>
      <c r="W161" s="8">
        <v>4800</v>
      </c>
      <c r="X161" s="8">
        <v>4368</v>
      </c>
      <c r="Y161" s="8">
        <v>4368</v>
      </c>
      <c r="Z161" s="8">
        <v>4368</v>
      </c>
      <c r="AA161" s="8">
        <v>4368</v>
      </c>
      <c r="AB161" s="8">
        <v>4368</v>
      </c>
      <c r="AC161" s="8">
        <v>4368</v>
      </c>
      <c r="AD161" s="8">
        <v>4368</v>
      </c>
      <c r="AE161" s="8">
        <v>4116</v>
      </c>
      <c r="AF161" s="8"/>
    </row>
    <row r="162" spans="1:32">
      <c r="A162" s="24" t="s">
        <v>584</v>
      </c>
      <c r="B162" s="8">
        <v>1499</v>
      </c>
      <c r="C162" s="8">
        <v>1499</v>
      </c>
      <c r="D162" s="8">
        <v>1499</v>
      </c>
      <c r="E162" s="8">
        <v>1359</v>
      </c>
      <c r="F162" s="8">
        <v>1359</v>
      </c>
      <c r="G162" s="8">
        <v>1359</v>
      </c>
      <c r="H162" s="8">
        <v>1359</v>
      </c>
      <c r="I162" s="8">
        <v>1299</v>
      </c>
      <c r="J162" s="8">
        <v>1299</v>
      </c>
      <c r="K162" s="8">
        <v>1299</v>
      </c>
      <c r="L162" s="8">
        <v>1299</v>
      </c>
      <c r="M162" s="8">
        <v>1299</v>
      </c>
      <c r="N162" s="8">
        <v>1299</v>
      </c>
      <c r="O162" s="8">
        <v>1299</v>
      </c>
      <c r="P162" s="8">
        <v>1299</v>
      </c>
      <c r="Q162" s="8">
        <v>3012</v>
      </c>
      <c r="R162" s="8">
        <v>3012</v>
      </c>
      <c r="S162" s="8">
        <v>3012</v>
      </c>
      <c r="T162" s="8">
        <v>2736</v>
      </c>
      <c r="U162" s="8">
        <v>2736</v>
      </c>
      <c r="V162" s="8">
        <v>2736</v>
      </c>
      <c r="W162" s="8">
        <v>2736</v>
      </c>
      <c r="X162" s="8">
        <v>2484</v>
      </c>
      <c r="Y162" s="8">
        <v>2484</v>
      </c>
      <c r="Z162" s="8">
        <v>2484</v>
      </c>
      <c r="AA162" s="8">
        <v>2484</v>
      </c>
      <c r="AB162" s="8">
        <v>2484</v>
      </c>
      <c r="AC162" s="8">
        <v>2484</v>
      </c>
      <c r="AD162" s="8">
        <v>2484</v>
      </c>
      <c r="AE162" s="8">
        <v>2340</v>
      </c>
      <c r="AF162" s="8"/>
    </row>
    <row r="163" spans="1:32">
      <c r="A163" s="24" t="s">
        <v>624</v>
      </c>
      <c r="B163" s="8">
        <v>279</v>
      </c>
      <c r="C163" s="8">
        <v>249</v>
      </c>
      <c r="D163" s="8">
        <v>249</v>
      </c>
      <c r="E163" s="8">
        <v>249</v>
      </c>
      <c r="F163" s="8">
        <v>249</v>
      </c>
      <c r="G163" s="8">
        <v>249</v>
      </c>
      <c r="H163" s="8">
        <v>249</v>
      </c>
      <c r="I163" s="8">
        <v>249</v>
      </c>
      <c r="J163" s="8">
        <v>249</v>
      </c>
      <c r="K163" s="8">
        <v>249</v>
      </c>
      <c r="L163" s="8">
        <v>249</v>
      </c>
      <c r="M163" s="8">
        <v>249</v>
      </c>
      <c r="N163" s="8">
        <v>249</v>
      </c>
      <c r="O163" s="8">
        <v>249</v>
      </c>
      <c r="P163" s="8">
        <v>249</v>
      </c>
      <c r="Q163" s="8">
        <v>576</v>
      </c>
      <c r="R163" s="8">
        <v>576</v>
      </c>
      <c r="S163" s="8">
        <v>576</v>
      </c>
      <c r="T163" s="8">
        <v>528</v>
      </c>
      <c r="U163" s="8">
        <v>528</v>
      </c>
      <c r="V163" s="8">
        <v>528</v>
      </c>
      <c r="W163" s="8">
        <v>528</v>
      </c>
      <c r="X163" s="8">
        <v>480</v>
      </c>
      <c r="Y163" s="8">
        <v>480</v>
      </c>
      <c r="Z163" s="8">
        <v>480</v>
      </c>
      <c r="AA163" s="8">
        <v>480</v>
      </c>
      <c r="AB163" s="8">
        <v>480</v>
      </c>
      <c r="AC163" s="8">
        <v>480</v>
      </c>
      <c r="AD163" s="8">
        <v>480</v>
      </c>
      <c r="AE163" s="8">
        <v>420</v>
      </c>
      <c r="AF163" s="9"/>
    </row>
    <row r="164" spans="1:32">
      <c r="A164" s="24" t="s">
        <v>625</v>
      </c>
      <c r="B164" s="8">
        <v>729</v>
      </c>
      <c r="C164" s="8">
        <v>699</v>
      </c>
      <c r="D164" s="8">
        <v>699</v>
      </c>
      <c r="E164" s="8">
        <v>639</v>
      </c>
      <c r="F164" s="8">
        <v>639</v>
      </c>
      <c r="G164" s="8">
        <v>639</v>
      </c>
      <c r="H164" s="8">
        <v>639</v>
      </c>
      <c r="I164" s="8">
        <v>639</v>
      </c>
      <c r="J164" s="8">
        <v>639</v>
      </c>
      <c r="K164" s="8">
        <v>639</v>
      </c>
      <c r="L164" s="8">
        <v>639</v>
      </c>
      <c r="M164" s="8">
        <v>639</v>
      </c>
      <c r="N164" s="8">
        <v>639</v>
      </c>
      <c r="O164" s="8">
        <v>639</v>
      </c>
      <c r="P164" s="8">
        <v>639</v>
      </c>
      <c r="Q164" s="8">
        <v>1320</v>
      </c>
      <c r="R164" s="8">
        <v>1320</v>
      </c>
      <c r="S164" s="8">
        <v>1320</v>
      </c>
      <c r="T164" s="8">
        <v>1200</v>
      </c>
      <c r="U164" s="8">
        <v>1200</v>
      </c>
      <c r="V164" s="8">
        <v>1200</v>
      </c>
      <c r="W164" s="8">
        <v>1200</v>
      </c>
      <c r="X164" s="8">
        <v>1092</v>
      </c>
      <c r="Y164" s="8">
        <v>1092</v>
      </c>
      <c r="Z164" s="8">
        <v>1092</v>
      </c>
      <c r="AA164" s="8">
        <v>1092</v>
      </c>
      <c r="AB164" s="8">
        <v>1092</v>
      </c>
      <c r="AC164" s="8">
        <v>1092</v>
      </c>
      <c r="AD164" s="8">
        <v>1092</v>
      </c>
      <c r="AE164" s="8">
        <v>1020</v>
      </c>
      <c r="AF164" s="8"/>
    </row>
    <row r="165" spans="1:32">
      <c r="A165" s="24" t="s">
        <v>632</v>
      </c>
      <c r="B165" s="8">
        <v>359</v>
      </c>
      <c r="C165" s="8">
        <v>359</v>
      </c>
      <c r="D165" s="8">
        <v>359</v>
      </c>
      <c r="E165" s="8">
        <v>319</v>
      </c>
      <c r="F165" s="8">
        <v>319</v>
      </c>
      <c r="G165" s="8">
        <v>319</v>
      </c>
      <c r="H165" s="8">
        <v>319</v>
      </c>
      <c r="I165" s="8">
        <v>319</v>
      </c>
      <c r="J165" s="8">
        <v>319</v>
      </c>
      <c r="K165" s="8">
        <v>319</v>
      </c>
      <c r="L165" s="8">
        <v>319</v>
      </c>
      <c r="M165" s="8">
        <v>319</v>
      </c>
      <c r="N165" s="8">
        <v>319</v>
      </c>
      <c r="O165" s="8">
        <v>319</v>
      </c>
      <c r="P165" s="8">
        <v>319</v>
      </c>
      <c r="Q165" s="8">
        <v>684</v>
      </c>
      <c r="R165" s="8">
        <v>684</v>
      </c>
      <c r="S165" s="8">
        <v>684</v>
      </c>
      <c r="T165" s="8">
        <v>624</v>
      </c>
      <c r="U165" s="8">
        <v>624</v>
      </c>
      <c r="V165" s="8">
        <v>624</v>
      </c>
      <c r="W165" s="8">
        <v>624</v>
      </c>
      <c r="X165" s="8">
        <v>564</v>
      </c>
      <c r="Y165" s="8">
        <v>564</v>
      </c>
      <c r="Z165" s="8">
        <v>564</v>
      </c>
      <c r="AA165" s="8">
        <v>564</v>
      </c>
      <c r="AB165" s="8">
        <v>564</v>
      </c>
      <c r="AC165" s="8">
        <v>564</v>
      </c>
      <c r="AD165" s="8">
        <v>564</v>
      </c>
      <c r="AE165" s="8">
        <v>516</v>
      </c>
      <c r="AF165" s="8"/>
    </row>
    <row r="166" spans="1:32">
      <c r="A166" s="24" t="s">
        <v>633</v>
      </c>
      <c r="B166" s="8">
        <v>2329</v>
      </c>
      <c r="C166" s="8">
        <v>1859</v>
      </c>
      <c r="D166" s="8">
        <v>1859</v>
      </c>
      <c r="E166" s="8">
        <v>1859</v>
      </c>
      <c r="F166" s="8">
        <v>1859</v>
      </c>
      <c r="G166" s="8">
        <v>1859</v>
      </c>
      <c r="H166" s="8">
        <v>1859</v>
      </c>
      <c r="I166" s="8">
        <v>1859</v>
      </c>
      <c r="J166" s="8">
        <v>1859</v>
      </c>
      <c r="K166" s="8">
        <v>1859</v>
      </c>
      <c r="L166" s="8">
        <v>1859</v>
      </c>
      <c r="M166" s="8">
        <v>1859</v>
      </c>
      <c r="N166" s="8">
        <v>1859</v>
      </c>
      <c r="O166" s="8">
        <v>1859</v>
      </c>
      <c r="P166" s="8">
        <v>1859</v>
      </c>
      <c r="Q166" s="8">
        <v>4056</v>
      </c>
      <c r="R166" s="8">
        <v>4056</v>
      </c>
      <c r="S166" s="8">
        <v>4056</v>
      </c>
      <c r="T166" s="8">
        <v>3684</v>
      </c>
      <c r="U166" s="8">
        <v>3684</v>
      </c>
      <c r="V166" s="8">
        <v>3684</v>
      </c>
      <c r="W166" s="8">
        <v>3684</v>
      </c>
      <c r="X166" s="8">
        <v>3348</v>
      </c>
      <c r="Y166" s="8">
        <v>3348</v>
      </c>
      <c r="Z166" s="8">
        <v>3348</v>
      </c>
      <c r="AA166" s="8">
        <v>3348</v>
      </c>
      <c r="AB166" s="8">
        <v>3348</v>
      </c>
      <c r="AC166" s="8">
        <v>3348</v>
      </c>
      <c r="AD166" s="8">
        <v>3348</v>
      </c>
      <c r="AE166" s="8">
        <v>2976</v>
      </c>
      <c r="AF166" s="8"/>
    </row>
    <row r="167" spans="1:32">
      <c r="A167" s="24" t="s">
        <v>646</v>
      </c>
      <c r="B167" s="8">
        <v>1769</v>
      </c>
      <c r="C167" s="8">
        <v>1769</v>
      </c>
      <c r="D167" s="8">
        <v>1769</v>
      </c>
      <c r="E167" s="8">
        <v>1769</v>
      </c>
      <c r="F167" s="8">
        <v>1769</v>
      </c>
      <c r="G167" s="8">
        <v>1769</v>
      </c>
      <c r="H167" s="8">
        <v>1769</v>
      </c>
      <c r="I167" s="8">
        <v>1649</v>
      </c>
      <c r="J167" s="8">
        <v>1649</v>
      </c>
      <c r="K167" s="8">
        <v>1649</v>
      </c>
      <c r="L167" s="8">
        <v>1649</v>
      </c>
      <c r="M167" s="8">
        <v>1649</v>
      </c>
      <c r="N167" s="8">
        <v>1649</v>
      </c>
      <c r="O167" s="8">
        <v>1649</v>
      </c>
      <c r="P167" s="8">
        <v>1649</v>
      </c>
      <c r="Q167" s="8">
        <v>3480</v>
      </c>
      <c r="R167" s="8">
        <v>3480</v>
      </c>
      <c r="S167" s="8">
        <v>3480</v>
      </c>
      <c r="T167" s="8">
        <v>3168</v>
      </c>
      <c r="U167" s="8">
        <v>3168</v>
      </c>
      <c r="V167" s="8">
        <v>3168</v>
      </c>
      <c r="W167" s="8">
        <v>3168</v>
      </c>
      <c r="X167" s="8">
        <v>2880</v>
      </c>
      <c r="Y167" s="8">
        <v>2880</v>
      </c>
      <c r="Z167" s="8">
        <v>2880</v>
      </c>
      <c r="AA167" s="8">
        <v>2880</v>
      </c>
      <c r="AB167" s="8">
        <v>2880</v>
      </c>
      <c r="AC167" s="8">
        <v>2880</v>
      </c>
      <c r="AD167" s="8">
        <v>2880</v>
      </c>
      <c r="AE167" s="8">
        <v>2640</v>
      </c>
      <c r="AF167" s="8"/>
    </row>
    <row r="168" spans="1:32">
      <c r="A168" s="24" t="s">
        <v>647</v>
      </c>
      <c r="B168" s="8">
        <v>969</v>
      </c>
      <c r="C168" s="8">
        <v>969</v>
      </c>
      <c r="D168" s="8">
        <v>969</v>
      </c>
      <c r="E168" s="8">
        <v>969</v>
      </c>
      <c r="F168" s="8">
        <v>969</v>
      </c>
      <c r="G168" s="8">
        <v>969</v>
      </c>
      <c r="H168" s="8">
        <v>969</v>
      </c>
      <c r="I168" s="8">
        <v>879</v>
      </c>
      <c r="J168" s="8">
        <v>879</v>
      </c>
      <c r="K168" s="8">
        <v>879</v>
      </c>
      <c r="L168" s="8">
        <v>879</v>
      </c>
      <c r="M168" s="8">
        <v>879</v>
      </c>
      <c r="N168" s="8">
        <v>879</v>
      </c>
      <c r="O168" s="8">
        <v>879</v>
      </c>
      <c r="P168" s="8">
        <v>879</v>
      </c>
      <c r="Q168" s="8">
        <v>1824</v>
      </c>
      <c r="R168" s="8">
        <v>1824</v>
      </c>
      <c r="S168" s="8">
        <v>1824</v>
      </c>
      <c r="T168" s="8">
        <v>1656</v>
      </c>
      <c r="U168" s="8">
        <v>1656</v>
      </c>
      <c r="V168" s="8">
        <v>1656</v>
      </c>
      <c r="W168" s="8">
        <v>1656</v>
      </c>
      <c r="X168" s="8">
        <v>1500</v>
      </c>
      <c r="Y168" s="8">
        <v>1500</v>
      </c>
      <c r="Z168" s="8">
        <v>1500</v>
      </c>
      <c r="AA168" s="8">
        <v>1500</v>
      </c>
      <c r="AB168" s="8">
        <v>1500</v>
      </c>
      <c r="AC168" s="8">
        <v>1500</v>
      </c>
      <c r="AD168" s="8">
        <v>1500</v>
      </c>
      <c r="AE168" s="8">
        <v>1404</v>
      </c>
      <c r="AF168" s="8"/>
    </row>
    <row r="169" spans="1:32">
      <c r="A169" s="24" t="s">
        <v>648</v>
      </c>
      <c r="B169" s="8">
        <v>889</v>
      </c>
      <c r="C169" s="8">
        <v>889</v>
      </c>
      <c r="D169" s="8">
        <v>889</v>
      </c>
      <c r="E169" s="8">
        <v>889</v>
      </c>
      <c r="F169" s="8">
        <v>889</v>
      </c>
      <c r="G169" s="8">
        <v>889</v>
      </c>
      <c r="H169" s="8">
        <v>889</v>
      </c>
      <c r="I169" s="8">
        <v>789</v>
      </c>
      <c r="J169" s="8">
        <v>789</v>
      </c>
      <c r="K169" s="8">
        <v>789</v>
      </c>
      <c r="L169" s="8">
        <v>789</v>
      </c>
      <c r="M169" s="8">
        <v>789</v>
      </c>
      <c r="N169" s="8">
        <v>789</v>
      </c>
      <c r="O169" s="8">
        <v>789</v>
      </c>
      <c r="P169" s="8">
        <v>789</v>
      </c>
      <c r="Q169" s="8">
        <v>1716</v>
      </c>
      <c r="R169" s="8">
        <v>1716</v>
      </c>
      <c r="S169" s="8">
        <v>1716</v>
      </c>
      <c r="T169" s="8">
        <v>1560</v>
      </c>
      <c r="U169" s="8">
        <v>1560</v>
      </c>
      <c r="V169" s="8">
        <v>1560</v>
      </c>
      <c r="W169" s="8">
        <v>1560</v>
      </c>
      <c r="X169" s="8">
        <v>1416</v>
      </c>
      <c r="Y169" s="8">
        <v>1416</v>
      </c>
      <c r="Z169" s="8">
        <v>1416</v>
      </c>
      <c r="AA169" s="8">
        <v>1416</v>
      </c>
      <c r="AB169" s="8">
        <v>1416</v>
      </c>
      <c r="AC169" s="8">
        <v>1416</v>
      </c>
      <c r="AD169" s="8">
        <v>1416</v>
      </c>
      <c r="AE169" s="8">
        <v>1260</v>
      </c>
      <c r="AF169" s="8"/>
    </row>
    <row r="170" spans="1:32">
      <c r="A170" s="24" t="s">
        <v>649</v>
      </c>
      <c r="B170" s="8">
        <v>1449</v>
      </c>
      <c r="C170" s="8">
        <v>1449</v>
      </c>
      <c r="D170" s="8">
        <v>1449</v>
      </c>
      <c r="E170" s="8">
        <v>1449</v>
      </c>
      <c r="F170" s="8">
        <v>1449</v>
      </c>
      <c r="G170" s="8">
        <v>1449</v>
      </c>
      <c r="H170" s="8">
        <v>1449</v>
      </c>
      <c r="I170" s="8">
        <v>1309</v>
      </c>
      <c r="J170" s="8">
        <v>1309</v>
      </c>
      <c r="K170" s="8">
        <v>1309</v>
      </c>
      <c r="L170" s="8">
        <v>1309</v>
      </c>
      <c r="M170" s="8">
        <v>1309</v>
      </c>
      <c r="N170" s="8">
        <v>1309</v>
      </c>
      <c r="O170" s="8">
        <v>1309</v>
      </c>
      <c r="P170" s="8">
        <v>1309</v>
      </c>
      <c r="Q170" s="8">
        <v>2688</v>
      </c>
      <c r="R170" s="8">
        <v>2688</v>
      </c>
      <c r="S170" s="8">
        <v>2688</v>
      </c>
      <c r="T170" s="8">
        <v>2448</v>
      </c>
      <c r="U170" s="8">
        <v>2448</v>
      </c>
      <c r="V170" s="8">
        <v>2448</v>
      </c>
      <c r="W170" s="8">
        <v>2448</v>
      </c>
      <c r="X170" s="8">
        <v>2220</v>
      </c>
      <c r="Y170" s="8">
        <v>2220</v>
      </c>
      <c r="Z170" s="8">
        <v>2220</v>
      </c>
      <c r="AA170" s="8">
        <v>2220</v>
      </c>
      <c r="AB170" s="8">
        <v>2220</v>
      </c>
      <c r="AC170" s="8">
        <v>2220</v>
      </c>
      <c r="AD170" s="8">
        <v>2220</v>
      </c>
      <c r="AE170" s="8">
        <v>2100</v>
      </c>
      <c r="AF170" s="8"/>
    </row>
    <row r="171" spans="1:32">
      <c r="A171" s="24" t="s">
        <v>650</v>
      </c>
      <c r="B171" s="8">
        <v>1869</v>
      </c>
      <c r="C171" s="8">
        <v>1869</v>
      </c>
      <c r="D171" s="8">
        <v>1869</v>
      </c>
      <c r="E171" s="8">
        <v>1869</v>
      </c>
      <c r="F171" s="8">
        <v>1869</v>
      </c>
      <c r="G171" s="8">
        <v>1869</v>
      </c>
      <c r="H171" s="8">
        <v>1869</v>
      </c>
      <c r="I171" s="8">
        <v>1799</v>
      </c>
      <c r="J171" s="8">
        <v>1799</v>
      </c>
      <c r="K171" s="8">
        <v>1799</v>
      </c>
      <c r="L171" s="8">
        <v>1799</v>
      </c>
      <c r="M171" s="8">
        <v>1799</v>
      </c>
      <c r="N171" s="8">
        <v>1799</v>
      </c>
      <c r="O171" s="8">
        <v>1799</v>
      </c>
      <c r="P171" s="8">
        <v>1799</v>
      </c>
      <c r="Q171" s="8">
        <v>3744</v>
      </c>
      <c r="R171" s="8">
        <v>3744</v>
      </c>
      <c r="S171" s="8">
        <v>3744</v>
      </c>
      <c r="T171" s="8">
        <v>3408</v>
      </c>
      <c r="U171" s="8">
        <v>3408</v>
      </c>
      <c r="V171" s="8">
        <v>3408</v>
      </c>
      <c r="W171" s="8">
        <v>3408</v>
      </c>
      <c r="X171" s="8">
        <v>3096</v>
      </c>
      <c r="Y171" s="8">
        <v>3096</v>
      </c>
      <c r="Z171" s="8">
        <v>3096</v>
      </c>
      <c r="AA171" s="8">
        <v>3096</v>
      </c>
      <c r="AB171" s="8">
        <v>3096</v>
      </c>
      <c r="AC171" s="8">
        <v>3096</v>
      </c>
      <c r="AD171" s="8">
        <v>3096</v>
      </c>
      <c r="AE171" s="8">
        <v>2916</v>
      </c>
      <c r="AF171" s="8"/>
    </row>
    <row r="172" spans="1:32">
      <c r="A172" s="24" t="s">
        <v>651</v>
      </c>
      <c r="B172" s="8">
        <v>899</v>
      </c>
      <c r="C172" s="8">
        <v>899</v>
      </c>
      <c r="D172" s="8">
        <v>899</v>
      </c>
      <c r="E172" s="8">
        <v>899</v>
      </c>
      <c r="F172" s="8">
        <v>899</v>
      </c>
      <c r="G172" s="8">
        <v>899</v>
      </c>
      <c r="H172" s="8">
        <v>899</v>
      </c>
      <c r="I172" s="8">
        <v>799</v>
      </c>
      <c r="J172" s="8">
        <v>799</v>
      </c>
      <c r="K172" s="8">
        <v>799</v>
      </c>
      <c r="L172" s="8">
        <v>799</v>
      </c>
      <c r="M172" s="8">
        <v>799</v>
      </c>
      <c r="N172" s="8">
        <v>799</v>
      </c>
      <c r="O172" s="8">
        <v>799</v>
      </c>
      <c r="P172" s="8">
        <v>799</v>
      </c>
      <c r="Q172" s="8">
        <v>1632</v>
      </c>
      <c r="R172" s="8">
        <v>1632</v>
      </c>
      <c r="S172" s="8">
        <v>1632</v>
      </c>
      <c r="T172" s="8">
        <v>1488</v>
      </c>
      <c r="U172" s="8">
        <v>1488</v>
      </c>
      <c r="V172" s="8">
        <v>1488</v>
      </c>
      <c r="W172" s="8">
        <v>1488</v>
      </c>
      <c r="X172" s="8">
        <v>1356</v>
      </c>
      <c r="Y172" s="8">
        <v>1356</v>
      </c>
      <c r="Z172" s="8">
        <v>1356</v>
      </c>
      <c r="AA172" s="8">
        <v>1356</v>
      </c>
      <c r="AB172" s="8">
        <v>1356</v>
      </c>
      <c r="AC172" s="8">
        <v>1356</v>
      </c>
      <c r="AD172" s="8">
        <v>1356</v>
      </c>
      <c r="AE172" s="8">
        <v>1284</v>
      </c>
      <c r="AF172" s="8"/>
    </row>
    <row r="173" spans="1:32">
      <c r="A173" s="24" t="s">
        <v>652</v>
      </c>
      <c r="B173" s="8">
        <v>989</v>
      </c>
      <c r="C173" s="8">
        <v>989</v>
      </c>
      <c r="D173" s="8">
        <v>989</v>
      </c>
      <c r="E173" s="8">
        <v>989</v>
      </c>
      <c r="F173" s="8">
        <v>989</v>
      </c>
      <c r="G173" s="8">
        <v>989</v>
      </c>
      <c r="H173" s="8">
        <v>989</v>
      </c>
      <c r="I173" s="8">
        <v>869</v>
      </c>
      <c r="J173" s="8">
        <v>869</v>
      </c>
      <c r="K173" s="8">
        <v>869</v>
      </c>
      <c r="L173" s="8">
        <v>869</v>
      </c>
      <c r="M173" s="8">
        <v>869</v>
      </c>
      <c r="N173" s="8">
        <v>869</v>
      </c>
      <c r="O173" s="8">
        <v>869</v>
      </c>
      <c r="P173" s="8">
        <v>869</v>
      </c>
      <c r="Q173" s="8">
        <v>1848</v>
      </c>
      <c r="R173" s="8">
        <v>1848</v>
      </c>
      <c r="S173" s="8">
        <v>1848</v>
      </c>
      <c r="T173" s="8">
        <v>1680</v>
      </c>
      <c r="U173" s="8">
        <v>1680</v>
      </c>
      <c r="V173" s="8">
        <v>1680</v>
      </c>
      <c r="W173" s="8">
        <v>1680</v>
      </c>
      <c r="X173" s="8">
        <v>1524</v>
      </c>
      <c r="Y173" s="8">
        <v>1524</v>
      </c>
      <c r="Z173" s="8">
        <v>1524</v>
      </c>
      <c r="AA173" s="8">
        <v>1524</v>
      </c>
      <c r="AB173" s="8">
        <v>1524</v>
      </c>
      <c r="AC173" s="8">
        <v>1524</v>
      </c>
      <c r="AD173" s="8">
        <v>1524</v>
      </c>
      <c r="AE173" s="8">
        <v>1392</v>
      </c>
      <c r="AF173" s="8"/>
    </row>
    <row r="174" spans="1:32">
      <c r="A174" s="24" t="s">
        <v>698</v>
      </c>
      <c r="B174" s="8">
        <v>1089</v>
      </c>
      <c r="C174" s="8">
        <v>1089</v>
      </c>
      <c r="D174" s="8">
        <v>1089</v>
      </c>
      <c r="E174" s="8">
        <v>1089</v>
      </c>
      <c r="F174" s="8">
        <v>1089</v>
      </c>
      <c r="G174" s="8">
        <v>1089</v>
      </c>
      <c r="H174" s="8">
        <v>1089</v>
      </c>
      <c r="I174" s="8">
        <v>1049</v>
      </c>
      <c r="J174" s="8">
        <v>1049</v>
      </c>
      <c r="K174" s="8">
        <v>1049</v>
      </c>
      <c r="L174" s="8">
        <v>1049</v>
      </c>
      <c r="M174" s="8">
        <v>1049</v>
      </c>
      <c r="N174" s="8">
        <v>1049</v>
      </c>
      <c r="O174" s="8">
        <v>1049</v>
      </c>
      <c r="P174" s="8">
        <v>1049</v>
      </c>
      <c r="Q174" s="8">
        <v>2160</v>
      </c>
      <c r="R174" s="8">
        <v>2160</v>
      </c>
      <c r="S174" s="8">
        <v>2160</v>
      </c>
      <c r="T174" s="8">
        <v>1968</v>
      </c>
      <c r="U174" s="8">
        <v>1968</v>
      </c>
      <c r="V174" s="8">
        <v>1968</v>
      </c>
      <c r="W174" s="8">
        <v>1968</v>
      </c>
      <c r="X174" s="8">
        <v>1788</v>
      </c>
      <c r="Y174" s="8">
        <v>1788</v>
      </c>
      <c r="Z174" s="8">
        <v>1788</v>
      </c>
      <c r="AA174" s="8">
        <v>1788</v>
      </c>
      <c r="AB174" s="8">
        <v>1788</v>
      </c>
      <c r="AC174" s="8">
        <v>1788</v>
      </c>
      <c r="AD174" s="8">
        <v>1788</v>
      </c>
      <c r="AE174" s="8">
        <v>1680</v>
      </c>
      <c r="AF174" s="8"/>
    </row>
    <row r="175" spans="1:32">
      <c r="A175" s="24" t="s">
        <v>709</v>
      </c>
      <c r="B175" s="8">
        <v>4619</v>
      </c>
      <c r="C175" s="8">
        <v>4619</v>
      </c>
      <c r="D175" s="8">
        <v>4619</v>
      </c>
      <c r="E175" s="8">
        <v>3999</v>
      </c>
      <c r="F175" s="8">
        <v>3999</v>
      </c>
      <c r="G175" s="8">
        <v>3999</v>
      </c>
      <c r="H175" s="8">
        <v>3999</v>
      </c>
      <c r="I175" s="8">
        <v>3799</v>
      </c>
      <c r="J175" s="8">
        <v>3799</v>
      </c>
      <c r="K175" s="8">
        <v>3799</v>
      </c>
      <c r="L175" s="8">
        <v>3799</v>
      </c>
      <c r="M175" s="8">
        <v>3799</v>
      </c>
      <c r="N175" s="8">
        <v>3799</v>
      </c>
      <c r="O175" s="8">
        <v>3799</v>
      </c>
      <c r="P175" s="8">
        <v>3799</v>
      </c>
      <c r="Q175" s="8">
        <v>7812</v>
      </c>
      <c r="R175" s="8">
        <v>7812</v>
      </c>
      <c r="S175" s="8">
        <v>7812</v>
      </c>
      <c r="T175" s="8">
        <v>7104</v>
      </c>
      <c r="U175" s="8">
        <v>7104</v>
      </c>
      <c r="V175" s="8">
        <v>7104</v>
      </c>
      <c r="W175" s="8">
        <v>7104</v>
      </c>
      <c r="X175" s="8">
        <v>6456</v>
      </c>
      <c r="Y175" s="8">
        <v>6456</v>
      </c>
      <c r="Z175" s="8">
        <v>6456</v>
      </c>
      <c r="AA175" s="8">
        <v>6456</v>
      </c>
      <c r="AB175" s="8">
        <v>6456</v>
      </c>
      <c r="AC175" s="8">
        <v>6456</v>
      </c>
      <c r="AD175" s="8">
        <v>6456</v>
      </c>
      <c r="AE175" s="8">
        <v>6084</v>
      </c>
      <c r="AF175" s="8"/>
    </row>
    <row r="176" spans="1:32">
      <c r="A176" s="24" t="s">
        <v>710</v>
      </c>
      <c r="B176" s="8">
        <v>5549</v>
      </c>
      <c r="C176" s="8">
        <v>5549</v>
      </c>
      <c r="D176" s="8">
        <v>5549</v>
      </c>
      <c r="E176" s="8">
        <v>4799</v>
      </c>
      <c r="F176" s="8">
        <v>4799</v>
      </c>
      <c r="G176" s="8">
        <v>4799</v>
      </c>
      <c r="H176" s="8">
        <v>4799</v>
      </c>
      <c r="I176" s="8">
        <v>4559</v>
      </c>
      <c r="J176" s="8">
        <v>4559</v>
      </c>
      <c r="K176" s="8">
        <v>4559</v>
      </c>
      <c r="L176" s="8">
        <v>4559</v>
      </c>
      <c r="M176" s="8">
        <v>4559</v>
      </c>
      <c r="N176" s="8">
        <v>4559</v>
      </c>
      <c r="O176" s="8">
        <v>4559</v>
      </c>
      <c r="P176" s="8">
        <v>4559</v>
      </c>
      <c r="Q176" s="8">
        <v>9384</v>
      </c>
      <c r="R176" s="8">
        <v>9384</v>
      </c>
      <c r="S176" s="8">
        <v>9384</v>
      </c>
      <c r="T176" s="8">
        <v>8532</v>
      </c>
      <c r="U176" s="8">
        <v>8532</v>
      </c>
      <c r="V176" s="8">
        <v>8532</v>
      </c>
      <c r="W176" s="8">
        <v>8532</v>
      </c>
      <c r="X176" s="8">
        <v>7752</v>
      </c>
      <c r="Y176" s="8">
        <v>7752</v>
      </c>
      <c r="Z176" s="8">
        <v>7752</v>
      </c>
      <c r="AA176" s="8">
        <v>7752</v>
      </c>
      <c r="AB176" s="8">
        <v>7752</v>
      </c>
      <c r="AC176" s="8">
        <v>7752</v>
      </c>
      <c r="AD176" s="8">
        <v>7752</v>
      </c>
      <c r="AE176" s="8">
        <v>7296</v>
      </c>
      <c r="AF176" s="8"/>
    </row>
    <row r="177" spans="1:32">
      <c r="A177" s="24" t="s">
        <v>711</v>
      </c>
      <c r="B177" s="8">
        <v>6469</v>
      </c>
      <c r="C177" s="8">
        <v>6469</v>
      </c>
      <c r="D177" s="8">
        <v>6469</v>
      </c>
      <c r="E177" s="8">
        <v>5599</v>
      </c>
      <c r="F177" s="8">
        <v>5599</v>
      </c>
      <c r="G177" s="8">
        <v>5599</v>
      </c>
      <c r="H177" s="8">
        <v>5599</v>
      </c>
      <c r="I177" s="8">
        <v>5319</v>
      </c>
      <c r="J177" s="8">
        <v>5319</v>
      </c>
      <c r="K177" s="8">
        <v>5319</v>
      </c>
      <c r="L177" s="8">
        <v>5319</v>
      </c>
      <c r="M177" s="8">
        <v>5319</v>
      </c>
      <c r="N177" s="8">
        <v>5319</v>
      </c>
      <c r="O177" s="8">
        <v>5319</v>
      </c>
      <c r="P177" s="8">
        <v>5319</v>
      </c>
      <c r="Q177" s="8">
        <v>10944</v>
      </c>
      <c r="R177" s="8">
        <v>10944</v>
      </c>
      <c r="S177" s="8">
        <v>10944</v>
      </c>
      <c r="T177" s="8">
        <v>9948</v>
      </c>
      <c r="U177" s="8">
        <v>9948</v>
      </c>
      <c r="V177" s="8">
        <v>9948</v>
      </c>
      <c r="W177" s="8">
        <v>9948</v>
      </c>
      <c r="X177" s="8">
        <v>9048</v>
      </c>
      <c r="Y177" s="8">
        <v>9048</v>
      </c>
      <c r="Z177" s="8">
        <v>9048</v>
      </c>
      <c r="AA177" s="8">
        <v>9048</v>
      </c>
      <c r="AB177" s="8">
        <v>9048</v>
      </c>
      <c r="AC177" s="8">
        <v>9048</v>
      </c>
      <c r="AD177" s="8">
        <v>9048</v>
      </c>
      <c r="AE177" s="8">
        <v>8508</v>
      </c>
      <c r="AF177" s="8"/>
    </row>
    <row r="178" spans="1:32">
      <c r="A178" s="24" t="s">
        <v>708</v>
      </c>
      <c r="B178" s="8">
        <v>999</v>
      </c>
      <c r="C178" s="8">
        <v>999</v>
      </c>
      <c r="D178" s="8">
        <v>999</v>
      </c>
      <c r="E178" s="8">
        <v>999</v>
      </c>
      <c r="F178" s="8">
        <v>999</v>
      </c>
      <c r="G178" s="8">
        <v>999</v>
      </c>
      <c r="H178" s="8">
        <v>999</v>
      </c>
      <c r="I178" s="8">
        <v>919</v>
      </c>
      <c r="J178" s="8">
        <v>919</v>
      </c>
      <c r="K178" s="8">
        <v>919</v>
      </c>
      <c r="L178" s="8">
        <v>919</v>
      </c>
      <c r="M178" s="8">
        <v>919</v>
      </c>
      <c r="N178" s="8">
        <v>919</v>
      </c>
      <c r="O178" s="8">
        <v>919</v>
      </c>
      <c r="P178" s="8">
        <v>919</v>
      </c>
      <c r="Q178" s="8">
        <v>1944</v>
      </c>
      <c r="R178" s="8">
        <v>1944</v>
      </c>
      <c r="S178" s="8">
        <v>1944</v>
      </c>
      <c r="T178" s="8">
        <v>1764</v>
      </c>
      <c r="U178" s="8">
        <v>1764</v>
      </c>
      <c r="V178" s="8">
        <v>1764</v>
      </c>
      <c r="W178" s="8">
        <v>1764</v>
      </c>
      <c r="X178" s="8">
        <v>1608</v>
      </c>
      <c r="Y178" s="8">
        <v>1608</v>
      </c>
      <c r="Z178" s="8">
        <v>1608</v>
      </c>
      <c r="AA178" s="8">
        <v>1608</v>
      </c>
      <c r="AB178" s="8">
        <v>1608</v>
      </c>
      <c r="AC178" s="8">
        <v>1608</v>
      </c>
      <c r="AD178" s="8">
        <v>1608</v>
      </c>
      <c r="AE178" s="8">
        <v>1476</v>
      </c>
      <c r="AF178" s="8"/>
    </row>
    <row r="179" spans="1:32">
      <c r="A179" s="24" t="s">
        <v>723</v>
      </c>
      <c r="B179" s="8">
        <v>659</v>
      </c>
      <c r="C179" s="8">
        <v>659</v>
      </c>
      <c r="D179" s="8">
        <v>659</v>
      </c>
      <c r="E179" s="8">
        <v>659</v>
      </c>
      <c r="F179" s="8">
        <v>659</v>
      </c>
      <c r="G179" s="8">
        <v>659</v>
      </c>
      <c r="H179" s="8">
        <v>659</v>
      </c>
      <c r="I179" s="8">
        <v>599</v>
      </c>
      <c r="J179" s="8">
        <v>599</v>
      </c>
      <c r="K179" s="8">
        <v>599</v>
      </c>
      <c r="L179" s="8">
        <v>599</v>
      </c>
      <c r="M179" s="8">
        <v>599</v>
      </c>
      <c r="N179" s="8">
        <v>599</v>
      </c>
      <c r="O179" s="8">
        <v>599</v>
      </c>
      <c r="P179" s="8">
        <v>599</v>
      </c>
      <c r="Q179" s="8">
        <v>1236</v>
      </c>
      <c r="R179" s="8">
        <v>1236</v>
      </c>
      <c r="S179" s="8">
        <v>1236</v>
      </c>
      <c r="T179" s="8">
        <v>1128</v>
      </c>
      <c r="U179" s="8">
        <v>1128</v>
      </c>
      <c r="V179" s="8">
        <v>1128</v>
      </c>
      <c r="W179" s="8">
        <v>1128</v>
      </c>
      <c r="X179" s="8">
        <v>1020</v>
      </c>
      <c r="Y179" s="8">
        <v>1020</v>
      </c>
      <c r="Z179" s="8">
        <v>1020</v>
      </c>
      <c r="AA179" s="8">
        <v>1020</v>
      </c>
      <c r="AB179" s="8">
        <v>1020</v>
      </c>
      <c r="AC179" s="8">
        <v>1020</v>
      </c>
      <c r="AD179" s="8">
        <v>1020</v>
      </c>
      <c r="AE179" s="8">
        <v>960</v>
      </c>
      <c r="AF179" s="9"/>
    </row>
    <row r="180" spans="1:32">
      <c r="A180" s="24" t="s">
        <v>725</v>
      </c>
      <c r="B180" s="8">
        <v>989</v>
      </c>
      <c r="C180" s="8">
        <v>989</v>
      </c>
      <c r="D180" s="8">
        <v>989</v>
      </c>
      <c r="E180" s="8">
        <v>909</v>
      </c>
      <c r="F180" s="8">
        <v>909</v>
      </c>
      <c r="G180" s="8">
        <v>909</v>
      </c>
      <c r="H180" s="8">
        <v>909</v>
      </c>
      <c r="I180" s="8">
        <v>879</v>
      </c>
      <c r="J180" s="8">
        <v>879</v>
      </c>
      <c r="K180" s="8">
        <v>879</v>
      </c>
      <c r="L180" s="8">
        <v>879</v>
      </c>
      <c r="M180" s="8">
        <v>879</v>
      </c>
      <c r="N180" s="8">
        <v>879</v>
      </c>
      <c r="O180" s="8">
        <v>879</v>
      </c>
      <c r="P180" s="8">
        <v>879</v>
      </c>
      <c r="Q180" s="8">
        <v>1992</v>
      </c>
      <c r="R180" s="8">
        <v>1992</v>
      </c>
      <c r="S180" s="8">
        <v>1992</v>
      </c>
      <c r="T180" s="8">
        <v>1812</v>
      </c>
      <c r="U180" s="8">
        <v>1812</v>
      </c>
      <c r="V180" s="8">
        <v>1812</v>
      </c>
      <c r="W180" s="8">
        <v>1812</v>
      </c>
      <c r="X180" s="8">
        <v>1644</v>
      </c>
      <c r="Y180" s="8">
        <v>1644</v>
      </c>
      <c r="Z180" s="8">
        <v>1644</v>
      </c>
      <c r="AA180" s="8">
        <v>1644</v>
      </c>
      <c r="AB180" s="8">
        <v>1644</v>
      </c>
      <c r="AC180" s="8">
        <v>1644</v>
      </c>
      <c r="AD180" s="8">
        <v>1644</v>
      </c>
      <c r="AE180" s="8">
        <v>1404</v>
      </c>
      <c r="AF180" s="8"/>
    </row>
    <row r="181" spans="1:32">
      <c r="A181" s="24" t="s">
        <v>726</v>
      </c>
      <c r="B181" s="8">
        <v>1148</v>
      </c>
      <c r="C181" s="8">
        <v>1148</v>
      </c>
      <c r="D181" s="8">
        <v>1148</v>
      </c>
      <c r="E181" s="8">
        <v>1148</v>
      </c>
      <c r="F181" s="8">
        <v>1148</v>
      </c>
      <c r="G181" s="8">
        <v>1148</v>
      </c>
      <c r="H181" s="8">
        <v>1148</v>
      </c>
      <c r="I181" s="8">
        <v>1098</v>
      </c>
      <c r="J181" s="8">
        <v>1098</v>
      </c>
      <c r="K181" s="8">
        <v>1098</v>
      </c>
      <c r="L181" s="8">
        <v>1098</v>
      </c>
      <c r="M181" s="8">
        <v>1098</v>
      </c>
      <c r="N181" s="8">
        <v>1098</v>
      </c>
      <c r="O181" s="8">
        <v>1098</v>
      </c>
      <c r="P181" s="8">
        <v>1098</v>
      </c>
      <c r="Q181" s="8">
        <v>2328</v>
      </c>
      <c r="R181" s="8">
        <v>2328</v>
      </c>
      <c r="S181" s="8">
        <v>2328</v>
      </c>
      <c r="T181" s="8">
        <v>2112</v>
      </c>
      <c r="U181" s="8">
        <v>2112</v>
      </c>
      <c r="V181" s="8">
        <v>2112</v>
      </c>
      <c r="W181" s="8">
        <v>2112</v>
      </c>
      <c r="X181" s="8">
        <v>1920</v>
      </c>
      <c r="Y181" s="8">
        <v>1920</v>
      </c>
      <c r="Z181" s="8">
        <v>1920</v>
      </c>
      <c r="AA181" s="8">
        <v>1920</v>
      </c>
      <c r="AB181" s="8">
        <v>1920</v>
      </c>
      <c r="AC181" s="8">
        <v>1920</v>
      </c>
      <c r="AD181" s="8">
        <v>1920</v>
      </c>
      <c r="AE181" s="8">
        <v>1752</v>
      </c>
      <c r="AF181" s="8"/>
    </row>
    <row r="182" spans="1:32">
      <c r="A182" s="24" t="s">
        <v>727</v>
      </c>
      <c r="B182" s="8">
        <v>3199</v>
      </c>
      <c r="C182" s="8">
        <v>3199</v>
      </c>
      <c r="D182" s="8">
        <v>3199</v>
      </c>
      <c r="E182" s="8">
        <v>2649</v>
      </c>
      <c r="F182" s="8">
        <v>2649</v>
      </c>
      <c r="G182" s="8">
        <v>2649</v>
      </c>
      <c r="H182" s="8">
        <v>2649</v>
      </c>
      <c r="I182" s="8">
        <v>2509</v>
      </c>
      <c r="J182" s="8">
        <v>2509</v>
      </c>
      <c r="K182" s="8">
        <v>2509</v>
      </c>
      <c r="L182" s="8">
        <v>2509</v>
      </c>
      <c r="M182" s="8">
        <v>2509</v>
      </c>
      <c r="N182" s="8">
        <v>2509</v>
      </c>
      <c r="O182" s="8">
        <v>2509</v>
      </c>
      <c r="P182" s="8">
        <v>2509</v>
      </c>
      <c r="Q182" s="8">
        <v>5352</v>
      </c>
      <c r="R182" s="8">
        <v>5352</v>
      </c>
      <c r="S182" s="8">
        <v>5352</v>
      </c>
      <c r="T182" s="8">
        <v>4860</v>
      </c>
      <c r="U182" s="8">
        <v>4860</v>
      </c>
      <c r="V182" s="8">
        <v>4860</v>
      </c>
      <c r="W182" s="8">
        <v>4860</v>
      </c>
      <c r="X182" s="8">
        <v>4416</v>
      </c>
      <c r="Y182" s="8">
        <v>4416</v>
      </c>
      <c r="Z182" s="8">
        <v>4416</v>
      </c>
      <c r="AA182" s="8">
        <v>4416</v>
      </c>
      <c r="AB182" s="8">
        <v>4416</v>
      </c>
      <c r="AC182" s="8">
        <v>4416</v>
      </c>
      <c r="AD182" s="8">
        <v>4416</v>
      </c>
      <c r="AE182" s="8">
        <v>4152</v>
      </c>
      <c r="AF182" s="8"/>
    </row>
    <row r="183" spans="1:32">
      <c r="A183" s="24" t="s">
        <v>728</v>
      </c>
      <c r="B183" s="8">
        <v>3838</v>
      </c>
      <c r="C183" s="8">
        <v>3838</v>
      </c>
      <c r="D183" s="8">
        <v>3838</v>
      </c>
      <c r="E183" s="8">
        <v>3318</v>
      </c>
      <c r="F183" s="8">
        <v>3318</v>
      </c>
      <c r="G183" s="8">
        <v>3318</v>
      </c>
      <c r="H183" s="8">
        <v>3318</v>
      </c>
      <c r="I183" s="8">
        <v>3028</v>
      </c>
      <c r="J183" s="8">
        <v>3028</v>
      </c>
      <c r="K183" s="8">
        <v>3028</v>
      </c>
      <c r="L183" s="8">
        <v>3028</v>
      </c>
      <c r="M183" s="8">
        <v>3028</v>
      </c>
      <c r="N183" s="8">
        <v>3028</v>
      </c>
      <c r="O183" s="8">
        <v>3028</v>
      </c>
      <c r="P183" s="8">
        <v>3028</v>
      </c>
      <c r="Q183" s="8">
        <v>6228</v>
      </c>
      <c r="R183" s="8">
        <v>6228</v>
      </c>
      <c r="S183" s="8">
        <v>6228</v>
      </c>
      <c r="T183" s="8">
        <v>5664</v>
      </c>
      <c r="U183" s="8">
        <v>5664</v>
      </c>
      <c r="V183" s="8">
        <v>5664</v>
      </c>
      <c r="W183" s="8">
        <v>5664</v>
      </c>
      <c r="X183" s="8">
        <v>5148</v>
      </c>
      <c r="Y183" s="8">
        <v>5148</v>
      </c>
      <c r="Z183" s="8">
        <v>5148</v>
      </c>
      <c r="AA183" s="8">
        <v>5148</v>
      </c>
      <c r="AB183" s="8">
        <v>5148</v>
      </c>
      <c r="AC183" s="8">
        <v>5148</v>
      </c>
      <c r="AD183" s="8">
        <v>5148</v>
      </c>
      <c r="AE183" s="8">
        <v>4848</v>
      </c>
      <c r="AF183" s="8"/>
    </row>
    <row r="184" spans="1:32">
      <c r="A184" s="23" t="s">
        <v>733</v>
      </c>
      <c r="B184" s="8">
        <v>1259</v>
      </c>
      <c r="C184" s="8">
        <v>1259</v>
      </c>
      <c r="D184" s="8">
        <v>1259</v>
      </c>
      <c r="E184" s="8">
        <v>1259</v>
      </c>
      <c r="F184" s="8">
        <v>1259</v>
      </c>
      <c r="G184" s="8">
        <v>1259</v>
      </c>
      <c r="H184" s="8">
        <v>1259</v>
      </c>
      <c r="I184" s="8">
        <v>1189</v>
      </c>
      <c r="J184" s="8">
        <v>1189</v>
      </c>
      <c r="K184" s="8">
        <v>1189</v>
      </c>
      <c r="L184" s="8">
        <v>1189</v>
      </c>
      <c r="M184" s="8">
        <v>1189</v>
      </c>
      <c r="N184" s="8">
        <v>1189</v>
      </c>
      <c r="O184" s="8">
        <v>1189</v>
      </c>
      <c r="P184" s="8">
        <v>1189</v>
      </c>
      <c r="Q184" s="8">
        <v>2508</v>
      </c>
      <c r="R184" s="8">
        <v>2508</v>
      </c>
      <c r="S184" s="8">
        <v>2508</v>
      </c>
      <c r="T184" s="8">
        <v>2280</v>
      </c>
      <c r="U184" s="8">
        <v>2280</v>
      </c>
      <c r="V184" s="8">
        <v>2280</v>
      </c>
      <c r="W184" s="8">
        <v>2280</v>
      </c>
      <c r="X184" s="8">
        <v>2076</v>
      </c>
      <c r="Y184" s="8">
        <v>2076</v>
      </c>
      <c r="Z184" s="8">
        <v>2076</v>
      </c>
      <c r="AA184" s="8">
        <v>2076</v>
      </c>
      <c r="AB184" s="8">
        <v>2076</v>
      </c>
      <c r="AC184" s="8">
        <v>2076</v>
      </c>
      <c r="AD184" s="8">
        <v>2076</v>
      </c>
      <c r="AE184" s="8">
        <v>1908</v>
      </c>
      <c r="AF184" s="8"/>
    </row>
    <row r="185" spans="1:32">
      <c r="A185" s="23" t="s">
        <v>734</v>
      </c>
      <c r="B185" s="8">
        <v>1979</v>
      </c>
      <c r="C185" s="8">
        <v>1979</v>
      </c>
      <c r="D185" s="8">
        <v>1979</v>
      </c>
      <c r="E185" s="8">
        <v>1799</v>
      </c>
      <c r="F185" s="8">
        <v>1799</v>
      </c>
      <c r="G185" s="8">
        <v>1799</v>
      </c>
      <c r="H185" s="8">
        <v>1799</v>
      </c>
      <c r="I185" s="8">
        <v>1739</v>
      </c>
      <c r="J185" s="8">
        <v>1739</v>
      </c>
      <c r="K185" s="8">
        <v>1739</v>
      </c>
      <c r="L185" s="8">
        <v>1739</v>
      </c>
      <c r="M185" s="8">
        <v>1739</v>
      </c>
      <c r="N185" s="8">
        <v>1739</v>
      </c>
      <c r="O185" s="8">
        <v>1739</v>
      </c>
      <c r="P185" s="8">
        <v>1739</v>
      </c>
      <c r="Q185" s="8">
        <v>3576</v>
      </c>
      <c r="R185" s="8">
        <v>3576</v>
      </c>
      <c r="S185" s="8">
        <v>3576</v>
      </c>
      <c r="T185" s="8">
        <v>3252</v>
      </c>
      <c r="U185" s="8">
        <v>3252</v>
      </c>
      <c r="V185" s="8">
        <v>3252</v>
      </c>
      <c r="W185" s="8">
        <v>3252</v>
      </c>
      <c r="X185" s="8">
        <v>2952</v>
      </c>
      <c r="Y185" s="8">
        <v>2952</v>
      </c>
      <c r="Z185" s="8">
        <v>2952</v>
      </c>
      <c r="AA185" s="8">
        <v>2952</v>
      </c>
      <c r="AB185" s="8">
        <v>2952</v>
      </c>
      <c r="AC185" s="8">
        <v>2952</v>
      </c>
      <c r="AD185" s="8">
        <v>2952</v>
      </c>
      <c r="AE185" s="8">
        <v>2784</v>
      </c>
      <c r="AF185" s="8"/>
    </row>
    <row r="186" spans="1:32">
      <c r="A186" s="23" t="s">
        <v>735</v>
      </c>
      <c r="B186" s="8">
        <v>2339</v>
      </c>
      <c r="C186" s="8">
        <v>2339</v>
      </c>
      <c r="D186" s="8">
        <v>2339</v>
      </c>
      <c r="E186" s="8">
        <v>2339</v>
      </c>
      <c r="F186" s="8">
        <v>2339</v>
      </c>
      <c r="G186" s="8">
        <v>2339</v>
      </c>
      <c r="H186" s="8">
        <v>2339</v>
      </c>
      <c r="I186" s="8">
        <v>1939</v>
      </c>
      <c r="J186" s="8">
        <v>1939</v>
      </c>
      <c r="K186" s="8">
        <v>1939</v>
      </c>
      <c r="L186" s="8">
        <v>1939</v>
      </c>
      <c r="M186" s="8">
        <v>1939</v>
      </c>
      <c r="N186" s="8">
        <v>1939</v>
      </c>
      <c r="O186" s="8">
        <v>1939</v>
      </c>
      <c r="P186" s="8">
        <v>1939</v>
      </c>
      <c r="Q186" s="8">
        <v>3996</v>
      </c>
      <c r="R186" s="8">
        <v>3996</v>
      </c>
      <c r="S186" s="8">
        <v>3996</v>
      </c>
      <c r="T186" s="8">
        <v>3636</v>
      </c>
      <c r="U186" s="8">
        <v>3636</v>
      </c>
      <c r="V186" s="8">
        <v>3636</v>
      </c>
      <c r="W186" s="8">
        <v>3636</v>
      </c>
      <c r="X186" s="8">
        <v>3300</v>
      </c>
      <c r="Y186" s="8">
        <v>3300</v>
      </c>
      <c r="Z186" s="8">
        <v>3300</v>
      </c>
      <c r="AA186" s="8">
        <v>3300</v>
      </c>
      <c r="AB186" s="8">
        <v>3300</v>
      </c>
      <c r="AC186" s="8">
        <v>3300</v>
      </c>
      <c r="AD186" s="8">
        <v>3300</v>
      </c>
      <c r="AE186" s="8">
        <v>3108</v>
      </c>
      <c r="AF186" s="8"/>
    </row>
    <row r="187" spans="1:32">
      <c r="A187" s="23" t="s">
        <v>750</v>
      </c>
      <c r="B187" s="8">
        <v>849</v>
      </c>
      <c r="C187" s="8">
        <v>849</v>
      </c>
      <c r="D187" s="8">
        <v>849</v>
      </c>
      <c r="E187" s="8">
        <v>849</v>
      </c>
      <c r="F187" s="8">
        <v>849</v>
      </c>
      <c r="G187" s="8">
        <v>849</v>
      </c>
      <c r="H187" s="8">
        <v>849</v>
      </c>
      <c r="I187" s="8">
        <v>749</v>
      </c>
      <c r="J187" s="8">
        <v>749</v>
      </c>
      <c r="K187" s="8">
        <v>749</v>
      </c>
      <c r="L187" s="8">
        <v>749</v>
      </c>
      <c r="M187" s="8">
        <v>749</v>
      </c>
      <c r="N187" s="8">
        <v>749</v>
      </c>
      <c r="O187" s="8">
        <v>749</v>
      </c>
      <c r="P187" s="8">
        <v>749</v>
      </c>
      <c r="Q187" s="8">
        <v>1620</v>
      </c>
      <c r="R187" s="8">
        <v>1620</v>
      </c>
      <c r="S187" s="8">
        <v>1620</v>
      </c>
      <c r="T187" s="8">
        <v>1476</v>
      </c>
      <c r="U187" s="8">
        <v>1476</v>
      </c>
      <c r="V187" s="8">
        <v>1476</v>
      </c>
      <c r="W187" s="8">
        <v>1476</v>
      </c>
      <c r="X187" s="8">
        <v>1344</v>
      </c>
      <c r="Y187" s="8">
        <v>1344</v>
      </c>
      <c r="Z187" s="8">
        <v>1344</v>
      </c>
      <c r="AA187" s="8">
        <v>1344</v>
      </c>
      <c r="AB187" s="8">
        <v>1344</v>
      </c>
      <c r="AC187" s="8">
        <v>1344</v>
      </c>
      <c r="AD187" s="8">
        <v>1344</v>
      </c>
      <c r="AE187" s="8">
        <v>1200</v>
      </c>
      <c r="AF187" s="8"/>
    </row>
    <row r="188" spans="1:32">
      <c r="A188" s="23" t="s">
        <v>751</v>
      </c>
      <c r="B188" s="8">
        <v>619</v>
      </c>
      <c r="C188" s="8">
        <v>619</v>
      </c>
      <c r="D188" s="8">
        <v>619</v>
      </c>
      <c r="E188" s="8">
        <v>619</v>
      </c>
      <c r="F188" s="8">
        <v>619</v>
      </c>
      <c r="G188" s="8">
        <v>619</v>
      </c>
      <c r="H188" s="8">
        <v>619</v>
      </c>
      <c r="I188" s="8">
        <v>579</v>
      </c>
      <c r="J188" s="8">
        <v>579</v>
      </c>
      <c r="K188" s="8">
        <v>579</v>
      </c>
      <c r="L188" s="8">
        <v>579</v>
      </c>
      <c r="M188" s="8">
        <v>579</v>
      </c>
      <c r="N188" s="8">
        <v>579</v>
      </c>
      <c r="O188" s="8">
        <v>579</v>
      </c>
      <c r="P188" s="8">
        <v>579</v>
      </c>
      <c r="Q188" s="8">
        <v>1188</v>
      </c>
      <c r="R188" s="8">
        <v>1188</v>
      </c>
      <c r="S188" s="8">
        <v>1188</v>
      </c>
      <c r="T188" s="8">
        <v>1080</v>
      </c>
      <c r="U188" s="8">
        <v>1080</v>
      </c>
      <c r="V188" s="8">
        <v>1080</v>
      </c>
      <c r="W188" s="8">
        <v>1080</v>
      </c>
      <c r="X188" s="8">
        <v>984</v>
      </c>
      <c r="Y188" s="8">
        <v>984</v>
      </c>
      <c r="Z188" s="8">
        <v>984</v>
      </c>
      <c r="AA188" s="8">
        <v>984</v>
      </c>
      <c r="AB188" s="8">
        <v>984</v>
      </c>
      <c r="AC188" s="8">
        <v>984</v>
      </c>
      <c r="AD188" s="8">
        <v>984</v>
      </c>
      <c r="AE188" s="8">
        <v>924</v>
      </c>
      <c r="AF188" s="8"/>
    </row>
    <row r="189" spans="1:32">
      <c r="A189" s="23" t="s">
        <v>765</v>
      </c>
      <c r="B189" s="8">
        <v>7319</v>
      </c>
      <c r="C189" s="8">
        <v>7319</v>
      </c>
      <c r="D189" s="8">
        <v>7319</v>
      </c>
      <c r="E189" s="8">
        <v>7319</v>
      </c>
      <c r="F189" s="8">
        <v>7319</v>
      </c>
      <c r="G189" s="8">
        <v>7319</v>
      </c>
      <c r="H189" s="8">
        <v>7319</v>
      </c>
      <c r="I189" s="8">
        <v>6139</v>
      </c>
      <c r="J189" s="8">
        <v>6139</v>
      </c>
      <c r="K189" s="8">
        <v>6139</v>
      </c>
      <c r="L189" s="8">
        <v>6139</v>
      </c>
      <c r="M189" s="8">
        <v>6139</v>
      </c>
      <c r="N189" s="8">
        <v>6139</v>
      </c>
      <c r="O189" s="8">
        <v>6139</v>
      </c>
      <c r="P189" s="8">
        <v>6139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8">
        <v>10440</v>
      </c>
      <c r="Y189" s="8">
        <v>10440</v>
      </c>
      <c r="Z189" s="8">
        <v>10440</v>
      </c>
      <c r="AA189" s="8">
        <v>10440</v>
      </c>
      <c r="AB189" s="8">
        <v>10440</v>
      </c>
      <c r="AC189" s="8">
        <v>10440</v>
      </c>
      <c r="AD189" s="8">
        <v>10440</v>
      </c>
      <c r="AE189" s="8">
        <v>9828</v>
      </c>
      <c r="AF189" s="8"/>
    </row>
    <row r="190" spans="1:32">
      <c r="A190" s="23" t="s">
        <v>829</v>
      </c>
      <c r="B190" s="25">
        <v>559</v>
      </c>
      <c r="C190" s="25">
        <v>559</v>
      </c>
      <c r="D190" s="23">
        <v>559</v>
      </c>
      <c r="E190" s="25">
        <v>499</v>
      </c>
      <c r="F190" s="25">
        <v>499</v>
      </c>
      <c r="G190" s="25">
        <v>499</v>
      </c>
      <c r="H190" s="25">
        <v>499</v>
      </c>
      <c r="I190" s="25">
        <v>499</v>
      </c>
      <c r="J190" s="25">
        <v>499</v>
      </c>
      <c r="K190" s="25">
        <v>499</v>
      </c>
      <c r="L190" s="25">
        <v>499</v>
      </c>
      <c r="M190" s="25">
        <v>499</v>
      </c>
      <c r="N190" s="25">
        <v>499</v>
      </c>
      <c r="O190" s="25">
        <v>499</v>
      </c>
      <c r="P190" s="25">
        <v>499</v>
      </c>
      <c r="Q190" s="25">
        <v>1032</v>
      </c>
      <c r="R190" s="25">
        <v>1032</v>
      </c>
      <c r="S190" s="25">
        <v>1032</v>
      </c>
      <c r="T190" s="25">
        <v>936</v>
      </c>
      <c r="U190" s="25">
        <v>936</v>
      </c>
      <c r="V190" s="25">
        <v>936</v>
      </c>
      <c r="W190" s="25">
        <v>936</v>
      </c>
      <c r="X190" s="25">
        <v>852</v>
      </c>
      <c r="Y190" s="25">
        <v>852</v>
      </c>
      <c r="Z190" s="25">
        <v>852</v>
      </c>
      <c r="AA190" s="25">
        <v>852</v>
      </c>
      <c r="AB190" s="25">
        <v>852</v>
      </c>
      <c r="AC190" s="25">
        <v>852</v>
      </c>
      <c r="AD190" s="25">
        <v>852</v>
      </c>
      <c r="AE190" s="25">
        <v>852</v>
      </c>
      <c r="AF190" s="8"/>
    </row>
    <row r="191" spans="1:32">
      <c r="A191" s="24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spans="1:32">
      <c r="A192" s="24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spans="1:32">
      <c r="A193" s="24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spans="1:32">
      <c r="A194" s="24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spans="1:32">
      <c r="A195" s="24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spans="1:32">
      <c r="A196" s="24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spans="1:32">
      <c r="A197" s="24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spans="1:32">
      <c r="A198" s="24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spans="1:32">
      <c r="A199" s="24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spans="1:32">
      <c r="A200" s="24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spans="1:32">
      <c r="A201" s="24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spans="1:32">
      <c r="A202" s="24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spans="1:32">
      <c r="A203" s="24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spans="1:32">
      <c r="A204" s="24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spans="1:32">
      <c r="A205" s="24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spans="1:32">
      <c r="A206" s="24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spans="1:32">
      <c r="A207" s="24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spans="1:32">
      <c r="A208" s="24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spans="1:32">
      <c r="A209" s="24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spans="1:32">
      <c r="A210" s="24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spans="1:32">
      <c r="A211" s="24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spans="1:32">
      <c r="A212" s="24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9"/>
      <c r="R212" s="9"/>
      <c r="S212" s="9"/>
      <c r="T212" s="9"/>
      <c r="U212" s="9"/>
      <c r="V212" s="9"/>
      <c r="W212" s="9"/>
      <c r="X212" s="8"/>
      <c r="Y212" s="8"/>
      <c r="Z212" s="8"/>
      <c r="AA212" s="8"/>
      <c r="AB212" s="8"/>
      <c r="AC212" s="8"/>
      <c r="AD212" s="8"/>
      <c r="AE212" s="8"/>
      <c r="AF212" s="8"/>
    </row>
    <row r="213" spans="1:32">
      <c r="A213" s="24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9"/>
      <c r="R213" s="9"/>
      <c r="S213" s="9"/>
      <c r="T213" s="9"/>
      <c r="U213" s="9"/>
      <c r="V213" s="9"/>
      <c r="W213" s="9"/>
      <c r="X213" s="8"/>
      <c r="Y213" s="8"/>
      <c r="Z213" s="8"/>
      <c r="AA213" s="8"/>
      <c r="AB213" s="8"/>
      <c r="AC213" s="8"/>
      <c r="AD213" s="8"/>
      <c r="AE213" s="8"/>
      <c r="AF213" s="8"/>
    </row>
    <row r="214" spans="1:32">
      <c r="A214" s="24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9"/>
      <c r="R214" s="9"/>
      <c r="S214" s="9"/>
      <c r="T214" s="9"/>
      <c r="U214" s="9"/>
      <c r="V214" s="9"/>
      <c r="W214" s="9"/>
      <c r="X214" s="8"/>
      <c r="Y214" s="8"/>
      <c r="Z214" s="8"/>
      <c r="AA214" s="8"/>
      <c r="AB214" s="8"/>
      <c r="AC214" s="8"/>
      <c r="AD214" s="8"/>
      <c r="AE214" s="8"/>
      <c r="AF214" s="8"/>
    </row>
    <row r="215" spans="1:32">
      <c r="A215" s="24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9"/>
      <c r="R215" s="9"/>
      <c r="S215" s="9"/>
      <c r="T215" s="9"/>
      <c r="U215" s="9"/>
      <c r="V215" s="9"/>
      <c r="W215" s="9"/>
      <c r="X215" s="8"/>
      <c r="Y215" s="8"/>
      <c r="Z215" s="8"/>
      <c r="AA215" s="8"/>
      <c r="AB215" s="8"/>
      <c r="AC215" s="8"/>
      <c r="AD215" s="8"/>
      <c r="AE215" s="8"/>
      <c r="AF215" s="8"/>
    </row>
    <row r="216" spans="1:32">
      <c r="A216" s="24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9"/>
      <c r="R216" s="9"/>
      <c r="S216" s="9"/>
      <c r="T216" s="9"/>
      <c r="U216" s="9"/>
      <c r="V216" s="9"/>
      <c r="W216" s="9"/>
      <c r="X216" s="8"/>
      <c r="Y216" s="8"/>
      <c r="Z216" s="8"/>
      <c r="AA216" s="8"/>
      <c r="AB216" s="8"/>
      <c r="AC216" s="8"/>
      <c r="AD216" s="8"/>
      <c r="AE216" s="8"/>
      <c r="AF216" s="8"/>
    </row>
    <row r="217" spans="1:32">
      <c r="A217" s="24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spans="1:32">
      <c r="A218" s="24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spans="1:32">
      <c r="A219" s="24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spans="1:32">
      <c r="A220" s="24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spans="1:32">
      <c r="A221" s="24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 spans="1:32">
      <c r="A222" s="24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9"/>
    </row>
    <row r="223" spans="1:32">
      <c r="A223" s="24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 spans="1:32">
      <c r="A224" s="24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9"/>
    </row>
    <row r="225" spans="1:32">
      <c r="A225" s="24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9"/>
    </row>
    <row r="226" spans="1:32">
      <c r="A226" s="24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 spans="1:32">
      <c r="A227" s="24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 spans="1:32">
      <c r="A228" s="24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 spans="1:32">
      <c r="A229" s="24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 spans="1:32">
      <c r="A230" s="24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 spans="1:32">
      <c r="A231" s="24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 spans="1:32">
      <c r="A232" s="24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 spans="1:32">
      <c r="A233" s="24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 spans="1:32">
      <c r="A234" s="24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 spans="1:32">
      <c r="A235" s="24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 spans="1:32">
      <c r="A236" s="24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 spans="1:32">
      <c r="A237" s="24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 spans="1:32">
      <c r="A238" s="24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 spans="1:32">
      <c r="A239" s="24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 spans="1:32">
      <c r="A240" s="24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 spans="1:32">
      <c r="A241" s="24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10"/>
    </row>
    <row r="242" spans="1:32">
      <c r="A242" s="24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 spans="1:32">
      <c r="A243" s="24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 spans="1:32">
      <c r="A244" s="24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 spans="1:32">
      <c r="A245" s="24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 spans="1:32">
      <c r="A246" s="24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 spans="1:32">
      <c r="A247" s="24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 spans="1:32">
      <c r="A248" s="24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 spans="1:32">
      <c r="A249" s="24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 spans="1:32">
      <c r="A250" s="24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 spans="1:32">
      <c r="A251" s="24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9"/>
      <c r="R251" s="9"/>
      <c r="S251" s="9"/>
      <c r="T251" s="9"/>
      <c r="U251" s="9"/>
      <c r="V251" s="9"/>
      <c r="W251" s="9"/>
      <c r="X251" s="8"/>
      <c r="Y251" s="8"/>
      <c r="Z251" s="8"/>
      <c r="AA251" s="8"/>
      <c r="AB251" s="8"/>
      <c r="AC251" s="8"/>
      <c r="AD251" s="8"/>
      <c r="AE251" s="8"/>
    </row>
    <row r="252" spans="1:32">
      <c r="A252" s="24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9"/>
      <c r="R252" s="9"/>
      <c r="S252" s="9"/>
      <c r="T252" s="9"/>
      <c r="U252" s="9"/>
      <c r="V252" s="9"/>
      <c r="W252" s="9"/>
      <c r="X252" s="8"/>
      <c r="Y252" s="8"/>
      <c r="Z252" s="8"/>
      <c r="AA252" s="8"/>
      <c r="AB252" s="8"/>
      <c r="AC252" s="8"/>
      <c r="AD252" s="8"/>
      <c r="AE252" s="8"/>
    </row>
    <row r="253" spans="1:32">
      <c r="A253" s="24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9"/>
      <c r="R253" s="9"/>
      <c r="S253" s="9"/>
      <c r="T253" s="9"/>
      <c r="U253" s="9"/>
      <c r="V253" s="9"/>
      <c r="W253" s="9"/>
      <c r="X253" s="8"/>
      <c r="Y253" s="8"/>
      <c r="Z253" s="8"/>
      <c r="AA253" s="8"/>
      <c r="AB253" s="8"/>
      <c r="AC253" s="8"/>
      <c r="AD253" s="8"/>
      <c r="AE253" s="8"/>
    </row>
    <row r="254" spans="1:32">
      <c r="A254" s="24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9"/>
      <c r="R254" s="9"/>
      <c r="S254" s="9"/>
      <c r="T254" s="9"/>
      <c r="U254" s="9"/>
      <c r="V254" s="9"/>
      <c r="W254" s="9"/>
      <c r="X254" s="8"/>
      <c r="Y254" s="8"/>
      <c r="Z254" s="8"/>
      <c r="AA254" s="8"/>
      <c r="AB254" s="8"/>
      <c r="AC254" s="8"/>
      <c r="AD254" s="8"/>
      <c r="AE254" s="8"/>
    </row>
    <row r="255" spans="1:32">
      <c r="A255" s="24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9"/>
      <c r="R255" s="9"/>
      <c r="S255" s="9"/>
      <c r="T255" s="9"/>
      <c r="U255" s="9"/>
      <c r="V255" s="9"/>
      <c r="W255" s="9"/>
      <c r="X255" s="8"/>
      <c r="Y255" s="8"/>
      <c r="Z255" s="8"/>
      <c r="AA255" s="8"/>
      <c r="AB255" s="8"/>
      <c r="AC255" s="8"/>
      <c r="AD255" s="8"/>
      <c r="AE255" s="8"/>
    </row>
    <row r="256" spans="1:32">
      <c r="A256" s="24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 spans="1:31">
      <c r="A257" s="24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 spans="1:31">
      <c r="A258" s="24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 spans="1:31">
      <c r="A259" s="24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 spans="1:31">
      <c r="A260" s="24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 spans="1:31">
      <c r="A261" s="24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 spans="1:31">
      <c r="A262" s="24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 spans="1:31">
      <c r="A263" s="24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 spans="1:31">
      <c r="A264" s="24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 spans="1:31">
      <c r="A265" s="24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 spans="1:31">
      <c r="A266" s="24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 spans="1:31">
      <c r="A267" s="24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 spans="1:31">
      <c r="A268" s="24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 spans="1:31">
      <c r="A269" s="24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46FC-4791-45F5-A0C8-DC751DEC2E91}">
  <sheetPr codeName="Hoja2"/>
  <dimension ref="A1:C63"/>
  <sheetViews>
    <sheetView topLeftCell="A52" workbookViewId="0">
      <selection activeCell="A63" sqref="A63"/>
    </sheetView>
  </sheetViews>
  <sheetFormatPr baseColWidth="10" defaultRowHeight="15"/>
  <cols>
    <col min="1" max="1" width="42.42578125" bestFit="1" customWidth="1"/>
    <col min="2" max="2" width="11.7109375" customWidth="1"/>
    <col min="3" max="3" width="15" customWidth="1"/>
  </cols>
  <sheetData>
    <row r="1" spans="1:3">
      <c r="A1" t="s">
        <v>137</v>
      </c>
    </row>
    <row r="2" spans="1:3">
      <c r="A2" t="s">
        <v>433</v>
      </c>
      <c r="B2" t="s">
        <v>767</v>
      </c>
      <c r="C2" s="6" t="s">
        <v>770</v>
      </c>
    </row>
    <row r="3" spans="1:3">
      <c r="A3" t="s">
        <v>563</v>
      </c>
      <c r="B3" t="s">
        <v>767</v>
      </c>
      <c r="C3" s="6" t="s">
        <v>771</v>
      </c>
    </row>
    <row r="4" spans="1:3">
      <c r="A4" t="s">
        <v>22</v>
      </c>
      <c r="B4" t="s">
        <v>767</v>
      </c>
      <c r="C4" s="6" t="s">
        <v>774</v>
      </c>
    </row>
    <row r="5" spans="1:3">
      <c r="A5" t="s">
        <v>646</v>
      </c>
      <c r="B5" t="s">
        <v>767</v>
      </c>
      <c r="C5" s="6" t="s">
        <v>775</v>
      </c>
    </row>
    <row r="6" spans="1:3">
      <c r="A6" t="s">
        <v>23</v>
      </c>
      <c r="B6" t="s">
        <v>767</v>
      </c>
      <c r="C6" s="6" t="s">
        <v>776</v>
      </c>
    </row>
    <row r="7" spans="1:3">
      <c r="A7" t="s">
        <v>697</v>
      </c>
      <c r="B7" t="s">
        <v>767</v>
      </c>
      <c r="C7" s="6" t="s">
        <v>777</v>
      </c>
    </row>
    <row r="8" spans="1:3">
      <c r="A8" t="s">
        <v>24</v>
      </c>
      <c r="B8" t="s">
        <v>767</v>
      </c>
      <c r="C8" s="6" t="s">
        <v>778</v>
      </c>
    </row>
    <row r="9" spans="1:3">
      <c r="A9" t="s">
        <v>25</v>
      </c>
      <c r="B9" t="s">
        <v>767</v>
      </c>
      <c r="C9" s="6" t="s">
        <v>779</v>
      </c>
    </row>
    <row r="10" spans="1:3">
      <c r="A10" t="s">
        <v>648</v>
      </c>
      <c r="B10" t="s">
        <v>767</v>
      </c>
      <c r="C10" s="6" t="s">
        <v>780</v>
      </c>
    </row>
    <row r="11" spans="1:3">
      <c r="A11" t="s">
        <v>26</v>
      </c>
      <c r="B11" t="s">
        <v>767</v>
      </c>
      <c r="C11" s="6" t="s">
        <v>781</v>
      </c>
    </row>
    <row r="12" spans="1:3">
      <c r="A12" t="s">
        <v>27</v>
      </c>
      <c r="B12" t="s">
        <v>767</v>
      </c>
      <c r="C12" s="6" t="s">
        <v>782</v>
      </c>
    </row>
    <row r="13" spans="1:3">
      <c r="A13" t="s">
        <v>328</v>
      </c>
      <c r="B13" t="s">
        <v>767</v>
      </c>
      <c r="C13" s="6" t="s">
        <v>783</v>
      </c>
    </row>
    <row r="14" spans="1:3">
      <c r="A14" t="s">
        <v>379</v>
      </c>
      <c r="B14" t="s">
        <v>767</v>
      </c>
      <c r="C14" s="6" t="s">
        <v>784</v>
      </c>
    </row>
    <row r="15" spans="1:3">
      <c r="A15" t="s">
        <v>578</v>
      </c>
      <c r="B15" t="s">
        <v>767</v>
      </c>
      <c r="C15" s="6" t="s">
        <v>785</v>
      </c>
    </row>
    <row r="16" spans="1:3">
      <c r="A16" t="s">
        <v>422</v>
      </c>
      <c r="B16" t="s">
        <v>767</v>
      </c>
      <c r="C16" s="6" t="s">
        <v>786</v>
      </c>
    </row>
    <row r="17" spans="1:3">
      <c r="A17" t="s">
        <v>733</v>
      </c>
      <c r="B17" t="s">
        <v>767</v>
      </c>
      <c r="C17" s="6" t="s">
        <v>787</v>
      </c>
    </row>
    <row r="18" spans="1:3">
      <c r="A18" t="s">
        <v>28</v>
      </c>
      <c r="B18" t="s">
        <v>767</v>
      </c>
      <c r="C18" s="6" t="s">
        <v>788</v>
      </c>
    </row>
    <row r="19" spans="1:3">
      <c r="A19" t="s">
        <v>639</v>
      </c>
      <c r="B19" t="s">
        <v>767</v>
      </c>
      <c r="C19" s="6" t="s">
        <v>789</v>
      </c>
    </row>
    <row r="20" spans="1:3">
      <c r="A20" t="s">
        <v>29</v>
      </c>
      <c r="B20" t="s">
        <v>767</v>
      </c>
      <c r="C20" s="6" t="s">
        <v>790</v>
      </c>
    </row>
    <row r="21" spans="1:3">
      <c r="A21" t="s">
        <v>825</v>
      </c>
      <c r="B21" t="s">
        <v>767</v>
      </c>
      <c r="C21" s="6" t="s">
        <v>791</v>
      </c>
    </row>
    <row r="22" spans="1:3">
      <c r="A22" t="s">
        <v>30</v>
      </c>
      <c r="B22" t="s">
        <v>767</v>
      </c>
      <c r="C22" s="6" t="s">
        <v>792</v>
      </c>
    </row>
    <row r="23" spans="1:3">
      <c r="A23" t="s">
        <v>719</v>
      </c>
      <c r="B23" t="s">
        <v>767</v>
      </c>
      <c r="C23" s="6" t="s">
        <v>793</v>
      </c>
    </row>
    <row r="24" spans="1:3">
      <c r="A24" t="s">
        <v>419</v>
      </c>
      <c r="B24" t="s">
        <v>767</v>
      </c>
      <c r="C24" s="6" t="s">
        <v>768</v>
      </c>
    </row>
    <row r="25" spans="1:3">
      <c r="A25" t="s">
        <v>425</v>
      </c>
      <c r="B25" t="s">
        <v>767</v>
      </c>
      <c r="C25" s="6" t="s">
        <v>768</v>
      </c>
    </row>
    <row r="26" spans="1:3">
      <c r="A26" t="s">
        <v>32</v>
      </c>
      <c r="B26" t="s">
        <v>767</v>
      </c>
      <c r="C26" s="6" t="s">
        <v>769</v>
      </c>
    </row>
    <row r="27" spans="1:3">
      <c r="A27" t="s">
        <v>617</v>
      </c>
      <c r="B27" t="s">
        <v>767</v>
      </c>
      <c r="C27" s="6" t="s">
        <v>772</v>
      </c>
    </row>
    <row r="28" spans="1:3">
      <c r="A28" t="s">
        <v>651</v>
      </c>
      <c r="B28" t="s">
        <v>767</v>
      </c>
      <c r="C28" s="6" t="s">
        <v>766</v>
      </c>
    </row>
    <row r="29" spans="1:3">
      <c r="A29" t="s">
        <v>33</v>
      </c>
      <c r="B29" t="s">
        <v>767</v>
      </c>
      <c r="C29" s="6" t="s">
        <v>773</v>
      </c>
    </row>
    <row r="30" spans="1:3">
      <c r="A30" t="s">
        <v>34</v>
      </c>
      <c r="B30" t="s">
        <v>767</v>
      </c>
      <c r="C30" s="6" t="s">
        <v>797</v>
      </c>
    </row>
    <row r="31" spans="1:3">
      <c r="A31" t="s">
        <v>795</v>
      </c>
      <c r="B31" t="s">
        <v>767</v>
      </c>
      <c r="C31" s="6" t="s">
        <v>798</v>
      </c>
    </row>
    <row r="32" spans="1:3">
      <c r="A32" t="s">
        <v>450</v>
      </c>
      <c r="B32" t="s">
        <v>767</v>
      </c>
      <c r="C32" s="6" t="s">
        <v>799</v>
      </c>
    </row>
    <row r="33" spans="1:3">
      <c r="A33" t="s">
        <v>796</v>
      </c>
      <c r="B33" t="s">
        <v>767</v>
      </c>
      <c r="C33" s="6" t="s">
        <v>800</v>
      </c>
    </row>
    <row r="34" spans="1:3">
      <c r="A34" t="s">
        <v>36</v>
      </c>
      <c r="B34" t="s">
        <v>767</v>
      </c>
      <c r="C34" s="6" t="s">
        <v>801</v>
      </c>
    </row>
    <row r="35" spans="1:3">
      <c r="A35" t="s">
        <v>37</v>
      </c>
      <c r="B35" t="s">
        <v>767</v>
      </c>
      <c r="C35" s="6" t="s">
        <v>802</v>
      </c>
    </row>
    <row r="36" spans="1:3">
      <c r="A36" t="s">
        <v>731</v>
      </c>
      <c r="B36" t="s">
        <v>767</v>
      </c>
      <c r="C36" s="6" t="s">
        <v>803</v>
      </c>
    </row>
    <row r="37" spans="1:3">
      <c r="A37" t="s">
        <v>38</v>
      </c>
      <c r="B37" t="s">
        <v>767</v>
      </c>
      <c r="C37" s="6" t="s">
        <v>804</v>
      </c>
    </row>
    <row r="38" spans="1:3">
      <c r="A38" t="s">
        <v>732</v>
      </c>
      <c r="B38" t="s">
        <v>767</v>
      </c>
      <c r="C38" s="6" t="s">
        <v>805</v>
      </c>
    </row>
    <row r="39" spans="1:3">
      <c r="A39" t="s">
        <v>525</v>
      </c>
      <c r="B39" t="s">
        <v>767</v>
      </c>
      <c r="C39" s="6" t="s">
        <v>806</v>
      </c>
    </row>
    <row r="40" spans="1:3">
      <c r="A40" t="s">
        <v>526</v>
      </c>
      <c r="B40" t="s">
        <v>767</v>
      </c>
      <c r="C40" s="6" t="s">
        <v>807</v>
      </c>
    </row>
    <row r="41" spans="1:3">
      <c r="A41" t="s">
        <v>625</v>
      </c>
      <c r="B41" t="s">
        <v>767</v>
      </c>
      <c r="C41" s="6" t="s">
        <v>808</v>
      </c>
    </row>
    <row r="42" spans="1:3">
      <c r="A42" t="s">
        <v>794</v>
      </c>
      <c r="B42" t="s">
        <v>767</v>
      </c>
      <c r="C42" s="6" t="s">
        <v>809</v>
      </c>
    </row>
    <row r="43" spans="1:3">
      <c r="A43" t="s">
        <v>530</v>
      </c>
      <c r="B43" t="s">
        <v>767</v>
      </c>
      <c r="C43" s="6" t="s">
        <v>810</v>
      </c>
    </row>
    <row r="44" spans="1:3">
      <c r="A44" t="s">
        <v>39</v>
      </c>
      <c r="B44" t="s">
        <v>767</v>
      </c>
      <c r="C44" s="6" t="s">
        <v>811</v>
      </c>
    </row>
    <row r="45" spans="1:3">
      <c r="A45" t="s">
        <v>401</v>
      </c>
      <c r="B45" t="s">
        <v>767</v>
      </c>
      <c r="C45" s="6" t="s">
        <v>812</v>
      </c>
    </row>
    <row r="46" spans="1:3">
      <c r="A46" t="s">
        <v>524</v>
      </c>
      <c r="B46" t="s">
        <v>767</v>
      </c>
      <c r="C46" s="6" t="s">
        <v>813</v>
      </c>
    </row>
    <row r="47" spans="1:3">
      <c r="A47" t="s">
        <v>647</v>
      </c>
      <c r="B47" t="s">
        <v>767</v>
      </c>
      <c r="C47" s="6" t="s">
        <v>814</v>
      </c>
    </row>
    <row r="48" spans="1:3">
      <c r="A48" t="s">
        <v>649</v>
      </c>
      <c r="B48" t="s">
        <v>767</v>
      </c>
      <c r="C48" s="6" t="s">
        <v>815</v>
      </c>
    </row>
    <row r="49" spans="1:3">
      <c r="A49" t="s">
        <v>650</v>
      </c>
      <c r="B49" t="s">
        <v>767</v>
      </c>
      <c r="C49" s="6" t="s">
        <v>816</v>
      </c>
    </row>
    <row r="50" spans="1:3">
      <c r="A50" t="s">
        <v>41</v>
      </c>
      <c r="B50" t="s">
        <v>767</v>
      </c>
      <c r="C50" s="6" t="s">
        <v>817</v>
      </c>
    </row>
    <row r="51" spans="1:3">
      <c r="A51" t="s">
        <v>624</v>
      </c>
      <c r="B51" t="s">
        <v>767</v>
      </c>
      <c r="C51" s="6" t="s">
        <v>818</v>
      </c>
    </row>
    <row r="52" spans="1:3">
      <c r="A52" t="s">
        <v>42</v>
      </c>
      <c r="B52" t="s">
        <v>767</v>
      </c>
      <c r="C52" s="6" t="s">
        <v>818</v>
      </c>
    </row>
    <row r="53" spans="1:3">
      <c r="A53" t="s">
        <v>43</v>
      </c>
      <c r="B53" t="s">
        <v>767</v>
      </c>
      <c r="C53" s="6" t="s">
        <v>819</v>
      </c>
    </row>
    <row r="54" spans="1:3">
      <c r="A54" t="s">
        <v>44</v>
      </c>
      <c r="B54" t="s">
        <v>767</v>
      </c>
      <c r="C54" s="6" t="s">
        <v>820</v>
      </c>
    </row>
    <row r="55" spans="1:3">
      <c r="A55" t="s">
        <v>45</v>
      </c>
      <c r="B55" t="s">
        <v>767</v>
      </c>
      <c r="C55" s="6" t="s">
        <v>821</v>
      </c>
    </row>
    <row r="56" spans="1:3">
      <c r="A56" t="s">
        <v>652</v>
      </c>
      <c r="B56" t="s">
        <v>767</v>
      </c>
      <c r="C56" s="6" t="s">
        <v>822</v>
      </c>
    </row>
    <row r="57" spans="1:3">
      <c r="A57" t="s">
        <v>751</v>
      </c>
      <c r="B57" t="s">
        <v>767</v>
      </c>
      <c r="C57" s="6" t="s">
        <v>823</v>
      </c>
    </row>
    <row r="58" spans="1:3">
      <c r="A58" t="s">
        <v>750</v>
      </c>
      <c r="B58" t="s">
        <v>767</v>
      </c>
      <c r="C58" s="6" t="s">
        <v>824</v>
      </c>
    </row>
    <row r="59" spans="1:3">
      <c r="A59" t="s">
        <v>765</v>
      </c>
      <c r="B59" t="s">
        <v>767</v>
      </c>
      <c r="C59" s="6" t="s">
        <v>862</v>
      </c>
    </row>
    <row r="60" spans="1:3">
      <c r="A60" t="s">
        <v>829</v>
      </c>
      <c r="B60" t="s">
        <v>767</v>
      </c>
      <c r="C60" s="6" t="s">
        <v>863</v>
      </c>
    </row>
    <row r="61" spans="1:3">
      <c r="A61" t="s">
        <v>845</v>
      </c>
      <c r="B61" t="s">
        <v>767</v>
      </c>
      <c r="C61" s="6" t="s">
        <v>864</v>
      </c>
    </row>
    <row r="62" spans="1:3">
      <c r="A62" t="s">
        <v>844</v>
      </c>
      <c r="B62" t="s">
        <v>767</v>
      </c>
      <c r="C62" s="6" t="s">
        <v>865</v>
      </c>
    </row>
    <row r="63" spans="1:3">
      <c r="A63" t="s">
        <v>843</v>
      </c>
      <c r="B63" t="s">
        <v>767</v>
      </c>
      <c r="C63" s="6" t="s">
        <v>866</v>
      </c>
    </row>
  </sheetData>
  <sortState xmlns:xlrd2="http://schemas.microsoft.com/office/spreadsheetml/2017/richdata2" ref="A1:C58">
    <sortCondition ref="A1:A58"/>
  </sortState>
  <hyperlinks>
    <hyperlink ref="C28" r:id="rId1" xr:uid="{17FFB37D-078E-4E11-95D6-D1D1D5F08CE2}"/>
    <hyperlink ref="C24" r:id="rId2" xr:uid="{17073823-2CE9-4277-8CE8-CF1A9CC162F1}"/>
    <hyperlink ref="C25" r:id="rId3" xr:uid="{4C3765A9-E389-47A5-9A6A-3ACEBB0F3817}"/>
    <hyperlink ref="C26" r:id="rId4" xr:uid="{49D0C56E-6438-4AAB-800C-1E15911ECE49}"/>
    <hyperlink ref="C2" r:id="rId5" xr:uid="{C7D6A19C-176C-42F8-A6BB-3EFA8AB67E86}"/>
    <hyperlink ref="C3" r:id="rId6" xr:uid="{B179486D-5E41-4749-82AB-7BB69A8BFE99}"/>
    <hyperlink ref="C27" r:id="rId7" xr:uid="{EE2489A2-B098-4293-96F3-9D20A9FAB7AD}"/>
    <hyperlink ref="C29" r:id="rId8" xr:uid="{D27670FD-3AFA-4A5E-B60D-7AA130E8B7EF}"/>
    <hyperlink ref="C4" r:id="rId9" xr:uid="{DE5AA821-0995-455B-A115-EB2018E7D998}"/>
    <hyperlink ref="C5" r:id="rId10" xr:uid="{D79C41B5-7484-4E33-9581-60DCBF376B9F}"/>
    <hyperlink ref="C6" r:id="rId11" xr:uid="{47818694-F008-4D0D-8B9E-049190047E3B}"/>
    <hyperlink ref="C7" r:id="rId12" xr:uid="{C3C0C464-DE95-45DB-9C4A-F57180B6D30B}"/>
    <hyperlink ref="C8" r:id="rId13" xr:uid="{01AAC3B3-EE96-44A6-B44F-03E0039E90C0}"/>
    <hyperlink ref="C9" r:id="rId14" xr:uid="{F841A5E6-442D-4AAA-B670-9711804BDE60}"/>
    <hyperlink ref="C10" r:id="rId15" xr:uid="{F6D15A85-77CC-4AC1-A1AB-17241F968193}"/>
    <hyperlink ref="C11" r:id="rId16" xr:uid="{D08448CE-8697-4C8F-9BE2-DD20CE47CBA3}"/>
    <hyperlink ref="C12" r:id="rId17" xr:uid="{3B16B029-9817-4D1A-9766-AC227A2299FD}"/>
    <hyperlink ref="C13" r:id="rId18" xr:uid="{A968986C-27DA-4F66-9799-6989152C4A1D}"/>
    <hyperlink ref="C14" r:id="rId19" xr:uid="{1F25E2A1-A016-46BF-9580-E881DA43E1AD}"/>
    <hyperlink ref="C16" r:id="rId20" xr:uid="{DBBC61A1-3770-4CDF-99F4-C9D87CFC63B9}"/>
    <hyperlink ref="C17" r:id="rId21" xr:uid="{C614E7EB-1143-4995-9E6D-807CD6E84A3A}"/>
    <hyperlink ref="C18" r:id="rId22" xr:uid="{C69DBA2C-36EB-4932-AEA0-9D0DDB98AEDF}"/>
    <hyperlink ref="C19" r:id="rId23" xr:uid="{2E1E8097-F164-4F8D-8EB9-8AEDB1257CF7}"/>
    <hyperlink ref="C20" r:id="rId24" xr:uid="{8C693587-405D-42EC-AFFE-DD5C91C52362}"/>
    <hyperlink ref="C21" r:id="rId25" xr:uid="{DAE78B0F-73BC-4341-9997-354535418A52}"/>
    <hyperlink ref="C22" r:id="rId26" xr:uid="{5D50258F-5203-4F07-B2CC-9A9D78D631F9}"/>
    <hyperlink ref="C23" r:id="rId27" xr:uid="{F443FA7B-BF61-4F55-8C3E-C592D57B00C5}"/>
    <hyperlink ref="C30" r:id="rId28" xr:uid="{7EB41C2C-1E2E-4079-8E80-D1254D31436C}"/>
    <hyperlink ref="C31" r:id="rId29" xr:uid="{5106C0F0-0D84-469E-A488-E0527F897812}"/>
    <hyperlink ref="C32" r:id="rId30" xr:uid="{A3C0B11F-E0E3-4333-B943-4D86C567504B}"/>
    <hyperlink ref="C33" r:id="rId31" xr:uid="{C27DD17F-0699-438B-9ABD-6F7AD0549CCC}"/>
    <hyperlink ref="C34" r:id="rId32" xr:uid="{6DFCF43E-A7C7-42CC-9851-70287F3C366C}"/>
    <hyperlink ref="C35" r:id="rId33" xr:uid="{20135729-4A88-40C4-BF2C-C129DE72005A}"/>
    <hyperlink ref="C36" r:id="rId34" xr:uid="{80B8848C-D586-471E-985A-8D6DD73BD89E}"/>
    <hyperlink ref="C38" r:id="rId35" xr:uid="{FB3A29E8-DC42-4ABF-8D2C-2FD560197F87}"/>
    <hyperlink ref="C39" r:id="rId36" xr:uid="{9E30C76A-F863-4DE9-9417-99CE0ABCE6DF}"/>
    <hyperlink ref="C40" r:id="rId37" xr:uid="{DFEC29E1-8F56-43ED-A326-2D1049B3593C}"/>
    <hyperlink ref="C41" r:id="rId38" xr:uid="{CAF0CDA2-1040-4C18-ACE3-24E8B997A490}"/>
    <hyperlink ref="C42" r:id="rId39" xr:uid="{31B0AA38-E9EF-4C52-AB71-5588F2189699}"/>
    <hyperlink ref="C43" r:id="rId40" xr:uid="{17DA095C-2107-43A5-B0EB-DB316429967D}"/>
    <hyperlink ref="C44" r:id="rId41" xr:uid="{52215854-D9F5-40DA-9EC9-9C33C399FC04}"/>
    <hyperlink ref="C45" r:id="rId42" xr:uid="{B5113B8F-76F6-434B-A13F-D13995F5A912}"/>
    <hyperlink ref="C46" r:id="rId43" xr:uid="{AF39C6E1-14F4-45AA-ADF6-EACCAC89DCCC}"/>
    <hyperlink ref="C48" r:id="rId44" xr:uid="{7279D26E-B14B-4AEA-9696-8C166F402A3D}"/>
    <hyperlink ref="C47" r:id="rId45" xr:uid="{70A94406-18FD-4CB2-9816-936F0CED926B}"/>
    <hyperlink ref="C49" r:id="rId46" xr:uid="{6C6DFE72-68DB-4DD9-B92A-12F7490B9E45}"/>
    <hyperlink ref="C50" r:id="rId47" xr:uid="{6548CA3F-364A-4D89-9DF2-8027D7B6AE80}"/>
    <hyperlink ref="C51" r:id="rId48" xr:uid="{5BBA57E6-AE99-4DA8-BF97-2E3FD11BD2A8}"/>
    <hyperlink ref="C52" r:id="rId49" xr:uid="{A4C39A49-142C-4473-B796-737C07A7B8CC}"/>
    <hyperlink ref="C53" r:id="rId50" xr:uid="{D77AC1C3-4EB3-4E23-9E92-06899FCA5FBB}"/>
    <hyperlink ref="C54" r:id="rId51" xr:uid="{D9502C15-CB1C-47AA-B8B5-59482A043284}"/>
    <hyperlink ref="C55" r:id="rId52" xr:uid="{86FBFA56-14FA-435D-A8D7-CE0D7A798310}"/>
    <hyperlink ref="C56" r:id="rId53" xr:uid="{FBDC2ACD-8996-4854-94E0-EA990064ECAA}"/>
    <hyperlink ref="C57" r:id="rId54" xr:uid="{302BE42E-45B2-4C85-A6B9-8D71B0CB2812}"/>
    <hyperlink ref="C58" r:id="rId55" xr:uid="{55D85D00-93E2-4F6B-898F-1B2A04ADE732}"/>
    <hyperlink ref="C37" r:id="rId56" xr:uid="{FCC6763E-B590-42AF-8BB5-C586EB591CD4}"/>
    <hyperlink ref="C59" r:id="rId57" xr:uid="{E9CA93E9-AA90-43FE-BE47-12A235E78C27}"/>
    <hyperlink ref="C60" r:id="rId58" xr:uid="{5789A0E6-F71F-49DA-BEDA-68F17AB8E303}"/>
    <hyperlink ref="C61" r:id="rId59" xr:uid="{A877C4FB-8EBD-434A-9267-7A4BDD64D85C}"/>
    <hyperlink ref="C62" r:id="rId60" xr:uid="{8529A472-B9FF-40B8-95A4-1C32E4485BB7}"/>
    <hyperlink ref="C63" r:id="rId61" xr:uid="{1EF2A29A-B033-40BB-9F41-333856253C3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563C2-2CD4-4651-8BAC-0C368510FB2F}">
  <dimension ref="A1:E58"/>
  <sheetViews>
    <sheetView topLeftCell="A16" workbookViewId="0">
      <selection activeCell="B22" sqref="B22"/>
    </sheetView>
  </sheetViews>
  <sheetFormatPr baseColWidth="10" defaultRowHeight="15"/>
  <cols>
    <col min="1" max="1" width="42.42578125" bestFit="1" customWidth="1"/>
    <col min="2" max="2" width="23.85546875" bestFit="1" customWidth="1"/>
    <col min="3" max="3" width="15" customWidth="1"/>
    <col min="4" max="4" width="21.42578125" bestFit="1" customWidth="1"/>
  </cols>
  <sheetData>
    <row r="1" spans="1:5">
      <c r="A1" t="s">
        <v>137</v>
      </c>
    </row>
    <row r="2" spans="1:5">
      <c r="A2" t="s">
        <v>22</v>
      </c>
      <c r="B2" t="s">
        <v>46</v>
      </c>
      <c r="C2" t="s">
        <v>50</v>
      </c>
      <c r="D2" t="s">
        <v>47</v>
      </c>
      <c r="E2" t="s">
        <v>51</v>
      </c>
    </row>
    <row r="3" spans="1:5">
      <c r="A3" t="s">
        <v>23</v>
      </c>
      <c r="B3" t="s">
        <v>46</v>
      </c>
      <c r="C3" t="s">
        <v>52</v>
      </c>
      <c r="D3" t="s">
        <v>47</v>
      </c>
      <c r="E3" t="s">
        <v>53</v>
      </c>
    </row>
    <row r="4" spans="1:5">
      <c r="A4" t="s">
        <v>24</v>
      </c>
      <c r="B4" t="s">
        <v>46</v>
      </c>
      <c r="C4" t="s">
        <v>54</v>
      </c>
      <c r="D4" t="s">
        <v>47</v>
      </c>
      <c r="E4" t="s">
        <v>55</v>
      </c>
    </row>
    <row r="5" spans="1:5">
      <c r="A5" t="s">
        <v>25</v>
      </c>
      <c r="B5" t="s">
        <v>46</v>
      </c>
      <c r="C5" t="s">
        <v>56</v>
      </c>
      <c r="D5" t="s">
        <v>47</v>
      </c>
      <c r="E5" t="s">
        <v>57</v>
      </c>
    </row>
    <row r="6" spans="1:5">
      <c r="A6" t="s">
        <v>26</v>
      </c>
      <c r="B6" t="s">
        <v>46</v>
      </c>
      <c r="C6" t="s">
        <v>58</v>
      </c>
      <c r="D6" t="s">
        <v>47</v>
      </c>
      <c r="E6" t="s">
        <v>59</v>
      </c>
    </row>
    <row r="7" spans="1:5">
      <c r="A7" t="s">
        <v>27</v>
      </c>
      <c r="B7" t="s">
        <v>46</v>
      </c>
      <c r="C7" t="s">
        <v>60</v>
      </c>
      <c r="D7" t="s">
        <v>47</v>
      </c>
      <c r="E7" t="s">
        <v>61</v>
      </c>
    </row>
    <row r="8" spans="1:5">
      <c r="A8" t="s">
        <v>28</v>
      </c>
      <c r="B8" t="s">
        <v>46</v>
      </c>
      <c r="C8" t="s">
        <v>62</v>
      </c>
      <c r="D8" t="s">
        <v>47</v>
      </c>
      <c r="E8" t="s">
        <v>63</v>
      </c>
    </row>
    <row r="9" spans="1:5">
      <c r="A9" t="s">
        <v>29</v>
      </c>
      <c r="B9" t="s">
        <v>46</v>
      </c>
      <c r="C9" t="s">
        <v>64</v>
      </c>
      <c r="D9" t="s">
        <v>47</v>
      </c>
      <c r="E9" t="s">
        <v>65</v>
      </c>
    </row>
    <row r="10" spans="1:5">
      <c r="A10" t="s">
        <v>30</v>
      </c>
      <c r="B10" t="s">
        <v>46</v>
      </c>
      <c r="C10" t="s">
        <v>66</v>
      </c>
      <c r="D10" t="s">
        <v>47</v>
      </c>
      <c r="E10" t="s">
        <v>67</v>
      </c>
    </row>
    <row r="11" spans="1:5">
      <c r="A11" t="s">
        <v>422</v>
      </c>
      <c r="B11" t="s">
        <v>46</v>
      </c>
      <c r="C11" s="6" t="s">
        <v>521</v>
      </c>
      <c r="D11" t="s">
        <v>47</v>
      </c>
      <c r="E11" s="6" t="s">
        <v>522</v>
      </c>
    </row>
    <row r="12" spans="1:5">
      <c r="A12" t="s">
        <v>419</v>
      </c>
      <c r="B12" t="s">
        <v>46</v>
      </c>
      <c r="C12" t="s">
        <v>69</v>
      </c>
      <c r="D12" t="s">
        <v>47</v>
      </c>
      <c r="E12" t="s">
        <v>68</v>
      </c>
    </row>
    <row r="13" spans="1:5">
      <c r="A13" t="s">
        <v>32</v>
      </c>
      <c r="B13" t="s">
        <v>46</v>
      </c>
      <c r="C13" t="s">
        <v>70</v>
      </c>
      <c r="D13" t="s">
        <v>47</v>
      </c>
      <c r="E13" t="s">
        <v>71</v>
      </c>
    </row>
    <row r="14" spans="1:5">
      <c r="A14" t="s">
        <v>425</v>
      </c>
      <c r="B14" t="s">
        <v>46</v>
      </c>
      <c r="C14" t="s">
        <v>72</v>
      </c>
      <c r="D14" t="s">
        <v>47</v>
      </c>
      <c r="E14" t="s">
        <v>73</v>
      </c>
    </row>
    <row r="15" spans="1:5">
      <c r="A15" t="s">
        <v>33</v>
      </c>
      <c r="B15" t="s">
        <v>46</v>
      </c>
      <c r="C15" t="s">
        <v>74</v>
      </c>
      <c r="D15" t="s">
        <v>47</v>
      </c>
      <c r="E15" t="s">
        <v>75</v>
      </c>
    </row>
    <row r="16" spans="1:5">
      <c r="A16" t="s">
        <v>34</v>
      </c>
      <c r="B16" t="s">
        <v>46</v>
      </c>
      <c r="C16" t="s">
        <v>76</v>
      </c>
      <c r="D16" t="s">
        <v>47</v>
      </c>
      <c r="E16" t="s">
        <v>77</v>
      </c>
    </row>
    <row r="17" spans="1:5">
      <c r="A17" t="s">
        <v>35</v>
      </c>
      <c r="B17" t="s">
        <v>46</v>
      </c>
      <c r="C17" t="s">
        <v>78</v>
      </c>
      <c r="D17" t="s">
        <v>47</v>
      </c>
      <c r="E17" t="s">
        <v>79</v>
      </c>
    </row>
    <row r="18" spans="1:5">
      <c r="A18" t="s">
        <v>36</v>
      </c>
      <c r="B18" t="s">
        <v>46</v>
      </c>
      <c r="C18" t="s">
        <v>80</v>
      </c>
      <c r="D18" t="s">
        <v>47</v>
      </c>
      <c r="E18" t="s">
        <v>81</v>
      </c>
    </row>
    <row r="19" spans="1:5">
      <c r="A19" t="s">
        <v>37</v>
      </c>
      <c r="B19" t="s">
        <v>46</v>
      </c>
      <c r="C19" t="s">
        <v>82</v>
      </c>
      <c r="D19" t="s">
        <v>47</v>
      </c>
      <c r="E19" t="s">
        <v>83</v>
      </c>
    </row>
    <row r="20" spans="1:5">
      <c r="A20" t="s">
        <v>38</v>
      </c>
      <c r="B20" t="s">
        <v>46</v>
      </c>
      <c r="C20" t="s">
        <v>84</v>
      </c>
      <c r="D20" t="s">
        <v>47</v>
      </c>
      <c r="E20" t="s">
        <v>85</v>
      </c>
    </row>
    <row r="21" spans="1:5">
      <c r="A21" t="s">
        <v>39</v>
      </c>
      <c r="B21" t="s">
        <v>46</v>
      </c>
      <c r="C21" t="s">
        <v>86</v>
      </c>
      <c r="D21" t="s">
        <v>47</v>
      </c>
      <c r="E21" t="s">
        <v>87</v>
      </c>
    </row>
    <row r="22" spans="1:5">
      <c r="A22" t="s">
        <v>40</v>
      </c>
      <c r="B22" t="s">
        <v>46</v>
      </c>
      <c r="C22" t="s">
        <v>88</v>
      </c>
      <c r="D22" t="s">
        <v>47</v>
      </c>
      <c r="E22" t="s">
        <v>89</v>
      </c>
    </row>
    <row r="23" spans="1:5">
      <c r="A23" t="s">
        <v>41</v>
      </c>
      <c r="B23" t="s">
        <v>46</v>
      </c>
      <c r="C23" t="s">
        <v>90</v>
      </c>
      <c r="D23" t="s">
        <v>47</v>
      </c>
      <c r="E23" t="s">
        <v>91</v>
      </c>
    </row>
    <row r="24" spans="1:5">
      <c r="A24" t="s">
        <v>42</v>
      </c>
      <c r="B24" t="s">
        <v>46</v>
      </c>
      <c r="C24" t="s">
        <v>92</v>
      </c>
      <c r="D24" t="s">
        <v>47</v>
      </c>
      <c r="E24" t="s">
        <v>93</v>
      </c>
    </row>
    <row r="25" spans="1:5">
      <c r="A25" t="s">
        <v>43</v>
      </c>
      <c r="B25" t="s">
        <v>46</v>
      </c>
      <c r="C25" t="s">
        <v>94</v>
      </c>
      <c r="D25" t="s">
        <v>47</v>
      </c>
      <c r="E25" t="s">
        <v>95</v>
      </c>
    </row>
    <row r="26" spans="1:5">
      <c r="A26" t="s">
        <v>44</v>
      </c>
      <c r="B26" t="s">
        <v>46</v>
      </c>
      <c r="C26" t="s">
        <v>97</v>
      </c>
      <c r="D26" t="s">
        <v>47</v>
      </c>
      <c r="E26" t="s">
        <v>96</v>
      </c>
    </row>
    <row r="27" spans="1:5">
      <c r="A27" t="s">
        <v>45</v>
      </c>
      <c r="B27" t="s">
        <v>46</v>
      </c>
      <c r="C27" t="s">
        <v>48</v>
      </c>
      <c r="D27" t="s">
        <v>47</v>
      </c>
      <c r="E27" t="s">
        <v>49</v>
      </c>
    </row>
    <row r="28" spans="1:5">
      <c r="A28" t="s">
        <v>433</v>
      </c>
      <c r="B28" t="s">
        <v>46</v>
      </c>
      <c r="C28" t="s">
        <v>436</v>
      </c>
      <c r="D28" t="s">
        <v>47</v>
      </c>
      <c r="E28" s="6" t="s">
        <v>441</v>
      </c>
    </row>
    <row r="29" spans="1:5">
      <c r="A29" t="s">
        <v>489</v>
      </c>
      <c r="B29" t="s">
        <v>46</v>
      </c>
      <c r="C29" s="6" t="s">
        <v>490</v>
      </c>
      <c r="D29" t="s">
        <v>47</v>
      </c>
      <c r="E29" t="s">
        <v>491</v>
      </c>
    </row>
    <row r="30" spans="1:5">
      <c r="A30" t="s">
        <v>492</v>
      </c>
      <c r="B30" t="s">
        <v>46</v>
      </c>
      <c r="C30" t="s">
        <v>493</v>
      </c>
      <c r="D30" t="s">
        <v>47</v>
      </c>
      <c r="E30" t="s">
        <v>494</v>
      </c>
    </row>
    <row r="31" spans="1:5">
      <c r="A31" t="s">
        <v>530</v>
      </c>
      <c r="B31" t="s">
        <v>46</v>
      </c>
      <c r="C31" s="6" t="s">
        <v>557</v>
      </c>
      <c r="D31" t="s">
        <v>47</v>
      </c>
      <c r="E31" s="6" t="s">
        <v>558</v>
      </c>
    </row>
    <row r="32" spans="1:5">
      <c r="A32" t="s">
        <v>524</v>
      </c>
      <c r="B32" t="s">
        <v>46</v>
      </c>
      <c r="C32" s="6" t="s">
        <v>552</v>
      </c>
      <c r="D32" t="s">
        <v>47</v>
      </c>
      <c r="E32" s="6" t="s">
        <v>554</v>
      </c>
    </row>
    <row r="33" spans="1:5">
      <c r="A33" t="s">
        <v>525</v>
      </c>
      <c r="B33" t="s">
        <v>46</v>
      </c>
      <c r="C33" s="6" t="s">
        <v>553</v>
      </c>
      <c r="D33" t="s">
        <v>47</v>
      </c>
      <c r="E33" s="6" t="s">
        <v>555</v>
      </c>
    </row>
    <row r="34" spans="1:5">
      <c r="A34" t="s">
        <v>526</v>
      </c>
      <c r="B34" t="s">
        <v>46</v>
      </c>
      <c r="C34" s="6" t="s">
        <v>553</v>
      </c>
      <c r="D34" t="s">
        <v>47</v>
      </c>
      <c r="E34" s="6" t="s">
        <v>556</v>
      </c>
    </row>
    <row r="35" spans="1:5">
      <c r="A35" t="s">
        <v>563</v>
      </c>
      <c r="B35" t="s">
        <v>46</v>
      </c>
      <c r="C35" s="6" t="s">
        <v>570</v>
      </c>
      <c r="D35" t="s">
        <v>47</v>
      </c>
      <c r="E35" s="6" t="s">
        <v>571</v>
      </c>
    </row>
    <row r="36" spans="1:5">
      <c r="A36" t="s">
        <v>586</v>
      </c>
      <c r="B36" t="s">
        <v>46</v>
      </c>
      <c r="C36" s="6" t="s">
        <v>587</v>
      </c>
      <c r="D36" t="s">
        <v>47</v>
      </c>
      <c r="E36" s="6" t="s">
        <v>588</v>
      </c>
    </row>
    <row r="37" spans="1:5">
      <c r="A37" t="s">
        <v>328</v>
      </c>
      <c r="B37" t="s">
        <v>46</v>
      </c>
      <c r="C37" s="6" t="s">
        <v>613</v>
      </c>
      <c r="D37" t="s">
        <v>47</v>
      </c>
      <c r="E37" s="6" t="s">
        <v>614</v>
      </c>
    </row>
    <row r="38" spans="1:5">
      <c r="A38" t="s">
        <v>379</v>
      </c>
      <c r="B38" t="s">
        <v>46</v>
      </c>
      <c r="C38" s="6" t="s">
        <v>615</v>
      </c>
      <c r="D38" t="s">
        <v>47</v>
      </c>
      <c r="E38" s="6" t="s">
        <v>616</v>
      </c>
    </row>
    <row r="39" spans="1:5">
      <c r="A39" t="s">
        <v>578</v>
      </c>
      <c r="B39" t="s">
        <v>46</v>
      </c>
      <c r="C39" s="6" t="s">
        <v>611</v>
      </c>
      <c r="D39" t="s">
        <v>47</v>
      </c>
      <c r="E39" s="6" t="s">
        <v>612</v>
      </c>
    </row>
    <row r="40" spans="1:5">
      <c r="A40" t="s">
        <v>617</v>
      </c>
      <c r="B40" t="s">
        <v>46</v>
      </c>
      <c r="C40" s="6" t="s">
        <v>622</v>
      </c>
      <c r="D40" t="s">
        <v>47</v>
      </c>
      <c r="E40" s="6" t="s">
        <v>623</v>
      </c>
    </row>
    <row r="41" spans="1:5">
      <c r="A41" t="s">
        <v>625</v>
      </c>
      <c r="B41" t="s">
        <v>46</v>
      </c>
      <c r="C41" s="6" t="s">
        <v>634</v>
      </c>
      <c r="D41" t="s">
        <v>47</v>
      </c>
      <c r="E41" s="6" t="s">
        <v>635</v>
      </c>
    </row>
    <row r="42" spans="1:5">
      <c r="A42" t="s">
        <v>639</v>
      </c>
      <c r="B42" t="s">
        <v>46</v>
      </c>
      <c r="C42" s="6" t="s">
        <v>642</v>
      </c>
      <c r="D42" t="s">
        <v>47</v>
      </c>
      <c r="E42" s="6" t="s">
        <v>643</v>
      </c>
    </row>
    <row r="43" spans="1:5">
      <c r="A43" t="s">
        <v>624</v>
      </c>
      <c r="B43" t="s">
        <v>46</v>
      </c>
      <c r="C43" s="6" t="s">
        <v>644</v>
      </c>
      <c r="D43" t="s">
        <v>47</v>
      </c>
      <c r="E43" s="6" t="s">
        <v>645</v>
      </c>
    </row>
    <row r="44" spans="1:5">
      <c r="A44" t="s">
        <v>646</v>
      </c>
      <c r="B44" t="s">
        <v>46</v>
      </c>
      <c r="C44" s="6" t="s">
        <v>683</v>
      </c>
      <c r="D44" t="s">
        <v>47</v>
      </c>
      <c r="E44" s="6" t="s">
        <v>684</v>
      </c>
    </row>
    <row r="45" spans="1:5">
      <c r="A45" t="s">
        <v>647</v>
      </c>
      <c r="B45" t="s">
        <v>46</v>
      </c>
      <c r="C45" s="6" t="s">
        <v>685</v>
      </c>
      <c r="D45" t="s">
        <v>47</v>
      </c>
      <c r="E45" s="6" t="s">
        <v>686</v>
      </c>
    </row>
    <row r="46" spans="1:5">
      <c r="A46" t="s">
        <v>648</v>
      </c>
      <c r="B46" t="s">
        <v>46</v>
      </c>
      <c r="C46" s="6" t="s">
        <v>687</v>
      </c>
      <c r="D46" t="s">
        <v>47</v>
      </c>
      <c r="E46" s="6" t="s">
        <v>688</v>
      </c>
    </row>
    <row r="47" spans="1:5">
      <c r="A47" t="s">
        <v>649</v>
      </c>
      <c r="B47" t="s">
        <v>46</v>
      </c>
      <c r="C47" s="6" t="s">
        <v>689</v>
      </c>
      <c r="D47" t="s">
        <v>47</v>
      </c>
      <c r="E47" s="6" t="s">
        <v>690</v>
      </c>
    </row>
    <row r="48" spans="1:5">
      <c r="A48" t="s">
        <v>650</v>
      </c>
      <c r="B48" t="s">
        <v>46</v>
      </c>
      <c r="C48" s="6" t="s">
        <v>691</v>
      </c>
      <c r="D48" t="s">
        <v>47</v>
      </c>
      <c r="E48" s="6" t="s">
        <v>692</v>
      </c>
    </row>
    <row r="49" spans="1:5">
      <c r="A49" t="s">
        <v>651</v>
      </c>
      <c r="B49" t="s">
        <v>46</v>
      </c>
      <c r="C49" s="6" t="s">
        <v>693</v>
      </c>
      <c r="D49" t="s">
        <v>47</v>
      </c>
      <c r="E49" s="6" t="s">
        <v>694</v>
      </c>
    </row>
    <row r="50" spans="1:5">
      <c r="A50" t="s">
        <v>652</v>
      </c>
      <c r="B50" t="s">
        <v>46</v>
      </c>
      <c r="C50" s="6" t="s">
        <v>695</v>
      </c>
      <c r="D50" t="s">
        <v>47</v>
      </c>
      <c r="E50" s="6" t="s">
        <v>696</v>
      </c>
    </row>
    <row r="51" spans="1:5">
      <c r="A51" t="s">
        <v>697</v>
      </c>
      <c r="B51" t="s">
        <v>46</v>
      </c>
      <c r="C51" s="6" t="s">
        <v>706</v>
      </c>
      <c r="D51" t="s">
        <v>47</v>
      </c>
      <c r="E51" s="6" t="s">
        <v>707</v>
      </c>
    </row>
    <row r="52" spans="1:5">
      <c r="A52" t="s">
        <v>708</v>
      </c>
      <c r="B52" t="s">
        <v>46</v>
      </c>
      <c r="C52" s="6" t="s">
        <v>717</v>
      </c>
      <c r="D52" t="s">
        <v>47</v>
      </c>
      <c r="E52" s="6" t="s">
        <v>718</v>
      </c>
    </row>
    <row r="53" spans="1:5">
      <c r="A53" t="s">
        <v>723</v>
      </c>
      <c r="B53" t="s">
        <v>46</v>
      </c>
      <c r="C53" s="6" t="s">
        <v>729</v>
      </c>
      <c r="D53" t="s">
        <v>47</v>
      </c>
      <c r="E53" s="6" t="s">
        <v>730</v>
      </c>
    </row>
    <row r="54" spans="1:5">
      <c r="A54" t="s">
        <v>731</v>
      </c>
      <c r="B54" t="s">
        <v>46</v>
      </c>
      <c r="C54" s="6" t="s">
        <v>743</v>
      </c>
      <c r="D54" t="s">
        <v>47</v>
      </c>
      <c r="E54" s="6" t="s">
        <v>744</v>
      </c>
    </row>
    <row r="55" spans="1:5">
      <c r="A55" t="s">
        <v>732</v>
      </c>
      <c r="B55" t="s">
        <v>46</v>
      </c>
      <c r="C55" s="6" t="s">
        <v>742</v>
      </c>
      <c r="D55" t="s">
        <v>47</v>
      </c>
      <c r="E55" s="6" t="s">
        <v>745</v>
      </c>
    </row>
    <row r="56" spans="1:5">
      <c r="A56" t="s">
        <v>733</v>
      </c>
      <c r="B56" t="s">
        <v>46</v>
      </c>
      <c r="C56" s="6" t="s">
        <v>747</v>
      </c>
      <c r="D56" t="s">
        <v>47</v>
      </c>
      <c r="E56" s="6" t="s">
        <v>748</v>
      </c>
    </row>
    <row r="57" spans="1:5">
      <c r="A57" t="s">
        <v>750</v>
      </c>
      <c r="B57" t="s">
        <v>46</v>
      </c>
      <c r="C57" s="6" t="s">
        <v>764</v>
      </c>
      <c r="D57" t="s">
        <v>47</v>
      </c>
      <c r="E57" s="6" t="s">
        <v>763</v>
      </c>
    </row>
    <row r="58" spans="1:5">
      <c r="A58" t="s">
        <v>751</v>
      </c>
      <c r="B58" t="s">
        <v>46</v>
      </c>
      <c r="C58" s="6" t="s">
        <v>761</v>
      </c>
      <c r="D58" t="s">
        <v>47</v>
      </c>
      <c r="E58" s="6" t="s">
        <v>762</v>
      </c>
    </row>
  </sheetData>
  <hyperlinks>
    <hyperlink ref="E28" r:id="rId1" xr:uid="{3077D422-BEBC-4B56-B749-F3E9AC2E4124}"/>
    <hyperlink ref="C11" r:id="rId2" xr:uid="{6A755DDA-E5A4-44B9-AF4D-24DDF3672AD8}"/>
    <hyperlink ref="E11" r:id="rId3" xr:uid="{9CEBD2F8-FEFF-4C28-BF5A-8D6ABFDC18AD}"/>
    <hyperlink ref="C32" r:id="rId4" xr:uid="{114CF20D-7B1D-4C88-AB46-EA6CE9410B25}"/>
    <hyperlink ref="C33" r:id="rId5" xr:uid="{11531BB3-0A16-44BF-8A23-25BB28646689}"/>
    <hyperlink ref="E32" r:id="rId6" xr:uid="{0C5D9DD4-7A92-45E8-9356-19C80956B223}"/>
    <hyperlink ref="E33" r:id="rId7" xr:uid="{2C8D6295-F4D3-4C1F-BD80-9B5A0E564622}"/>
    <hyperlink ref="C34" r:id="rId8" xr:uid="{3391A7C1-A5ED-40B6-83E2-54B932B0402E}"/>
    <hyperlink ref="E34" r:id="rId9" xr:uid="{121120C4-6BD3-427A-9E1A-D46FBC9ECF0C}"/>
    <hyperlink ref="C31" r:id="rId10" xr:uid="{D620CD35-C5DB-40EB-A149-7AD2FF6FD4A1}"/>
    <hyperlink ref="E31" r:id="rId11" xr:uid="{CD2A2FE4-DD9F-4F7F-A075-53C19900EB6B}"/>
    <hyperlink ref="C35" r:id="rId12" xr:uid="{484004EF-0D1D-4625-A61B-5C3FC463003E}"/>
    <hyperlink ref="E35" r:id="rId13" xr:uid="{4BAC9CFE-698A-4F14-8B37-C91170EA73A5}"/>
    <hyperlink ref="C36" r:id="rId14" xr:uid="{D81F8DC3-0221-4DB1-9A04-0ED296BB5843}"/>
    <hyperlink ref="E36" r:id="rId15" xr:uid="{4992F9B3-0281-48FE-92E7-6BB47426CC2B}"/>
    <hyperlink ref="C39" r:id="rId16" xr:uid="{EA364841-1EA2-489B-9FC1-DAB677C8043D}"/>
    <hyperlink ref="E39" r:id="rId17" xr:uid="{A8A4F82C-5F1B-471B-9F90-76AF13B9328F}"/>
    <hyperlink ref="C37" r:id="rId18" xr:uid="{8C305526-4E9A-4701-8655-B76A54D517E4}"/>
    <hyperlink ref="E37" r:id="rId19" xr:uid="{13C3D687-522E-428B-975A-6FC20BD44B08}"/>
    <hyperlink ref="C38" r:id="rId20" xr:uid="{26D8AD67-0106-4BF1-90D2-F70317368991}"/>
    <hyperlink ref="E38" r:id="rId21" xr:uid="{95FE80F9-2A83-4086-BD41-D949C1DADCDC}"/>
    <hyperlink ref="C40" r:id="rId22" xr:uid="{E6479D42-BA4B-47E0-91BA-94A24380EF72}"/>
    <hyperlink ref="E41" r:id="rId23" xr:uid="{88055B40-CB73-45E3-9220-328215511573}"/>
    <hyperlink ref="C42" r:id="rId24" xr:uid="{C2800CE3-3D9E-4984-AF62-B695AFDADB10}"/>
    <hyperlink ref="E42" r:id="rId25" xr:uid="{D6820963-60AB-4335-B2CE-5F717EE4E0D5}"/>
    <hyperlink ref="C43" r:id="rId26" xr:uid="{FACF71D4-5B16-462C-A470-5C1C80D3A46A}"/>
    <hyperlink ref="E43" r:id="rId27" xr:uid="{007B410F-2B7D-4FEE-9458-59D47A8BCFD8}"/>
    <hyperlink ref="C44" r:id="rId28" xr:uid="{C4E77949-6AD6-46E7-A235-5CAC71A5EB46}"/>
    <hyperlink ref="E44" r:id="rId29" xr:uid="{D9C9588F-3B56-4E70-B295-D10F3DBE4FC1}"/>
    <hyperlink ref="C45" r:id="rId30" xr:uid="{1B743015-754B-45C4-B326-277E76384880}"/>
    <hyperlink ref="E45" r:id="rId31" xr:uid="{043F8253-3479-4504-A036-EFB0F0228371}"/>
    <hyperlink ref="C46" r:id="rId32" xr:uid="{02C9AB8F-9C10-4093-B913-3E69C37CF2BE}"/>
    <hyperlink ref="E40" r:id="rId33" xr:uid="{81CCE44A-7786-480D-81F9-8A32EB1A132E}"/>
    <hyperlink ref="C41" r:id="rId34" xr:uid="{B279F45E-CA80-4DB2-BA35-1359C27BDFCB}"/>
    <hyperlink ref="E46" r:id="rId35" xr:uid="{06D71AF4-DE77-424D-B6C3-4228714C8AF1}"/>
    <hyperlink ref="C47" r:id="rId36" xr:uid="{5E4F77A6-5CAC-4DBA-8848-8771C8B592A5}"/>
    <hyperlink ref="E47" r:id="rId37" xr:uid="{F2A5E80F-8624-4D80-91BA-C6D2EB09EA1B}"/>
    <hyperlink ref="C48" r:id="rId38" xr:uid="{3F1CB322-406B-48AD-9F16-D5E18814D199}"/>
    <hyperlink ref="E48" r:id="rId39" xr:uid="{2167CED3-7013-43BA-AB80-72FAB8DA6449}"/>
    <hyperlink ref="E49" r:id="rId40" xr:uid="{A7B67BF7-A578-4E43-8414-2C9A36BAA4F4}"/>
    <hyperlink ref="C50" r:id="rId41" xr:uid="{C50BB4AA-C0BF-469C-ABB6-E4953298B500}"/>
    <hyperlink ref="E50" r:id="rId42" xr:uid="{2D86CF2A-F87B-4C3E-AA4C-8AF7C6B81DAE}"/>
    <hyperlink ref="C51" r:id="rId43" xr:uid="{8DAD0AA9-2E43-4846-B20E-67D73102C85D}"/>
    <hyperlink ref="E51" r:id="rId44" xr:uid="{D2C6EDBB-8B58-481B-A121-299C8FD66203}"/>
    <hyperlink ref="C52" r:id="rId45" xr:uid="{83333D95-1C2E-4C11-BA6B-B30A7BA75C37}"/>
    <hyperlink ref="E52" r:id="rId46" xr:uid="{8088194E-A2AA-4C9A-A060-6DD1A777007C}"/>
    <hyperlink ref="C53" r:id="rId47" xr:uid="{FCEF43D5-A23C-489F-9D7E-05D01C37554F}"/>
    <hyperlink ref="E53" r:id="rId48" xr:uid="{F8E3A89E-2BBE-4A9C-98BE-8D106785FAF1}"/>
    <hyperlink ref="C55" r:id="rId49" xr:uid="{97CC750F-471E-42F3-8DBF-C32103118A79}"/>
    <hyperlink ref="C54" r:id="rId50" xr:uid="{BB5091F9-AFB4-483C-9573-E02470D115E9}"/>
    <hyperlink ref="E54" r:id="rId51" xr:uid="{42C157E6-2770-4A93-8015-023AFECFA050}"/>
    <hyperlink ref="E55" r:id="rId52" xr:uid="{1FF161DD-7755-41F2-B46E-3DB27B6C7952}"/>
    <hyperlink ref="C56" r:id="rId53" xr:uid="{2088C25B-F530-4C46-A48A-9F975F517840}"/>
    <hyperlink ref="E56" r:id="rId54" xr:uid="{C89281BC-69D8-46EC-B122-FB34D14871D2}"/>
    <hyperlink ref="C58" r:id="rId55" xr:uid="{9A0CA8F6-991A-4028-A8D0-3FC4C9C879C3}"/>
    <hyperlink ref="E58" r:id="rId56" xr:uid="{481B4898-DAC7-493D-B84F-10B7921A821F}"/>
    <hyperlink ref="E57" r:id="rId57" xr:uid="{F6E00BCB-445B-4BB4-B9A7-E91EB2D3AAB2}"/>
    <hyperlink ref="C57" r:id="rId58" xr:uid="{E2C9F0CE-D79F-4B6A-8CF9-24BE508F5E38}"/>
    <hyperlink ref="C49" r:id="rId59" xr:uid="{0CF27A85-131A-47BD-9B48-639A95F677C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9B56-A44D-43AE-A166-C7D97F4C3A8C}">
  <sheetPr codeName="Hoja5"/>
  <dimension ref="A1:D27"/>
  <sheetViews>
    <sheetView workbookViewId="0">
      <selection activeCell="A8" sqref="A8:XFD8"/>
    </sheetView>
  </sheetViews>
  <sheetFormatPr baseColWidth="10" defaultRowHeight="15"/>
  <cols>
    <col min="1" max="1" width="33.7109375" bestFit="1" customWidth="1"/>
    <col min="2" max="2" width="18.5703125" bestFit="1" customWidth="1"/>
    <col min="4" max="4" width="16.7109375" bestFit="1" customWidth="1"/>
  </cols>
  <sheetData>
    <row r="1" spans="1:4">
      <c r="A1" t="s">
        <v>143</v>
      </c>
    </row>
    <row r="2" spans="1:4">
      <c r="A2" t="s">
        <v>0</v>
      </c>
      <c r="B2" t="s">
        <v>141</v>
      </c>
      <c r="C2" t="s">
        <v>139</v>
      </c>
      <c r="D2" s="5" t="s">
        <v>142</v>
      </c>
    </row>
    <row r="3" spans="1:4">
      <c r="A3" t="s">
        <v>22</v>
      </c>
      <c r="B3">
        <v>1399</v>
      </c>
      <c r="C3">
        <v>2448</v>
      </c>
      <c r="D3">
        <f>C3/12</f>
        <v>204</v>
      </c>
    </row>
    <row r="4" spans="1:4">
      <c r="A4" t="s">
        <v>23</v>
      </c>
      <c r="B4">
        <v>399</v>
      </c>
      <c r="C4">
        <v>732</v>
      </c>
      <c r="D4">
        <f t="shared" ref="D4:D27" si="0">C4/12</f>
        <v>61</v>
      </c>
    </row>
    <row r="5" spans="1:4">
      <c r="A5" t="s">
        <v>24</v>
      </c>
      <c r="B5">
        <v>579</v>
      </c>
      <c r="C5">
        <v>1080</v>
      </c>
      <c r="D5">
        <f t="shared" si="0"/>
        <v>90</v>
      </c>
    </row>
    <row r="6" spans="1:4">
      <c r="A6" t="s">
        <v>25</v>
      </c>
      <c r="B6">
        <v>749</v>
      </c>
      <c r="C6">
        <v>1404</v>
      </c>
      <c r="D6">
        <f t="shared" si="0"/>
        <v>117</v>
      </c>
    </row>
    <row r="7" spans="1:4">
      <c r="A7" t="s">
        <v>26</v>
      </c>
      <c r="B7">
        <v>899</v>
      </c>
      <c r="C7">
        <v>1644</v>
      </c>
      <c r="D7">
        <f t="shared" si="0"/>
        <v>137</v>
      </c>
    </row>
    <row r="8" spans="1:4">
      <c r="A8" t="s">
        <v>27</v>
      </c>
      <c r="B8">
        <v>2009</v>
      </c>
      <c r="C8">
        <v>3516</v>
      </c>
      <c r="D8">
        <f t="shared" si="0"/>
        <v>293</v>
      </c>
    </row>
    <row r="9" spans="1:4">
      <c r="A9" t="s">
        <v>28</v>
      </c>
      <c r="B9">
        <v>349</v>
      </c>
      <c r="C9">
        <v>648</v>
      </c>
      <c r="D9">
        <f t="shared" si="0"/>
        <v>54</v>
      </c>
    </row>
    <row r="10" spans="1:4">
      <c r="A10" t="s">
        <v>29</v>
      </c>
      <c r="B10">
        <v>469</v>
      </c>
      <c r="C10">
        <v>876</v>
      </c>
      <c r="D10">
        <f t="shared" si="0"/>
        <v>73</v>
      </c>
    </row>
    <row r="11" spans="1:4">
      <c r="A11" t="s">
        <v>30</v>
      </c>
      <c r="B11">
        <v>849</v>
      </c>
      <c r="C11">
        <v>1584</v>
      </c>
      <c r="D11">
        <f t="shared" si="0"/>
        <v>132</v>
      </c>
    </row>
    <row r="12" spans="1:4">
      <c r="A12" t="s">
        <v>31</v>
      </c>
      <c r="B12">
        <v>999</v>
      </c>
      <c r="C12">
        <v>1824</v>
      </c>
      <c r="D12">
        <f t="shared" si="0"/>
        <v>152</v>
      </c>
    </row>
    <row r="13" spans="1:4">
      <c r="A13" t="s">
        <v>32</v>
      </c>
      <c r="B13">
        <v>1299</v>
      </c>
      <c r="C13">
        <v>2268</v>
      </c>
      <c r="D13">
        <f t="shared" si="0"/>
        <v>189</v>
      </c>
    </row>
    <row r="14" spans="1:4">
      <c r="A14" t="s">
        <v>140</v>
      </c>
      <c r="B14">
        <v>699</v>
      </c>
      <c r="C14">
        <v>1284</v>
      </c>
      <c r="D14">
        <f t="shared" si="0"/>
        <v>107</v>
      </c>
    </row>
    <row r="15" spans="1:4">
      <c r="A15" t="s">
        <v>33</v>
      </c>
      <c r="B15">
        <v>1799</v>
      </c>
      <c r="C15">
        <v>3144</v>
      </c>
      <c r="D15">
        <f t="shared" si="0"/>
        <v>262</v>
      </c>
    </row>
    <row r="16" spans="1:4">
      <c r="A16" t="s">
        <v>34</v>
      </c>
      <c r="B16">
        <v>299</v>
      </c>
      <c r="C16">
        <v>552</v>
      </c>
      <c r="D16">
        <f t="shared" si="0"/>
        <v>46</v>
      </c>
    </row>
    <row r="17" spans="1:4">
      <c r="A17" t="s">
        <v>35</v>
      </c>
      <c r="B17">
        <v>499</v>
      </c>
      <c r="C17">
        <v>936</v>
      </c>
      <c r="D17">
        <f t="shared" si="0"/>
        <v>78</v>
      </c>
    </row>
    <row r="18" spans="1:4">
      <c r="A18" t="s">
        <v>36</v>
      </c>
      <c r="B18">
        <v>719</v>
      </c>
      <c r="C18">
        <v>1260</v>
      </c>
      <c r="D18">
        <f t="shared" si="0"/>
        <v>105</v>
      </c>
    </row>
    <row r="19" spans="1:4">
      <c r="A19" t="s">
        <v>37</v>
      </c>
      <c r="B19">
        <v>1029</v>
      </c>
      <c r="C19">
        <v>1800</v>
      </c>
      <c r="D19">
        <f t="shared" si="0"/>
        <v>150</v>
      </c>
    </row>
    <row r="20" spans="1:4">
      <c r="A20" t="s">
        <v>38</v>
      </c>
      <c r="B20">
        <v>1489</v>
      </c>
      <c r="C20">
        <v>2604</v>
      </c>
      <c r="D20">
        <f t="shared" si="0"/>
        <v>217</v>
      </c>
    </row>
    <row r="21" spans="1:4">
      <c r="A21" t="s">
        <v>39</v>
      </c>
      <c r="B21">
        <v>799</v>
      </c>
      <c r="C21">
        <v>1500</v>
      </c>
      <c r="D21">
        <f t="shared" si="0"/>
        <v>125</v>
      </c>
    </row>
    <row r="22" spans="1:4">
      <c r="A22" t="s">
        <v>40</v>
      </c>
      <c r="B22">
        <v>1049</v>
      </c>
      <c r="C22">
        <v>1836</v>
      </c>
      <c r="D22">
        <f t="shared" si="0"/>
        <v>153</v>
      </c>
    </row>
    <row r="23" spans="1:4">
      <c r="A23" t="s">
        <v>41</v>
      </c>
      <c r="B23">
        <v>249</v>
      </c>
      <c r="C23">
        <v>456</v>
      </c>
      <c r="D23">
        <f t="shared" si="0"/>
        <v>38</v>
      </c>
    </row>
    <row r="24" spans="1:4">
      <c r="A24" t="s">
        <v>42</v>
      </c>
      <c r="B24">
        <v>299</v>
      </c>
      <c r="C24">
        <v>552</v>
      </c>
      <c r="D24">
        <f t="shared" si="0"/>
        <v>46</v>
      </c>
    </row>
    <row r="25" spans="1:4">
      <c r="A25" t="s">
        <v>43</v>
      </c>
      <c r="B25">
        <v>349</v>
      </c>
      <c r="C25">
        <v>648</v>
      </c>
      <c r="D25">
        <f t="shared" si="0"/>
        <v>54</v>
      </c>
    </row>
    <row r="26" spans="1:4">
      <c r="A26" t="s">
        <v>44</v>
      </c>
      <c r="B26">
        <v>599</v>
      </c>
      <c r="C26">
        <v>1116</v>
      </c>
      <c r="D26">
        <f t="shared" si="0"/>
        <v>93</v>
      </c>
    </row>
    <row r="27" spans="1:4">
      <c r="A27" t="s">
        <v>45</v>
      </c>
      <c r="B27">
        <v>449</v>
      </c>
      <c r="C27">
        <v>840</v>
      </c>
      <c r="D27">
        <f t="shared" si="0"/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3B52-EA34-4B31-89C6-9E1F90C7B827}">
  <sheetPr codeName="Hoja6"/>
  <dimension ref="A1:D20"/>
  <sheetViews>
    <sheetView workbookViewId="0">
      <selection activeCell="D8" sqref="D8"/>
    </sheetView>
  </sheetViews>
  <sheetFormatPr baseColWidth="10" defaultRowHeight="15"/>
  <cols>
    <col min="1" max="1" width="38.85546875" customWidth="1"/>
  </cols>
  <sheetData>
    <row r="1" spans="1:4" ht="54">
      <c r="A1" s="2" t="s">
        <v>7</v>
      </c>
      <c r="B1" s="3" t="s">
        <v>98</v>
      </c>
      <c r="C1" s="3" t="s">
        <v>99</v>
      </c>
      <c r="D1" s="3" t="s">
        <v>99</v>
      </c>
    </row>
    <row r="2" spans="1:4" ht="18">
      <c r="A2" s="2" t="s">
        <v>15</v>
      </c>
      <c r="B2" s="3" t="s">
        <v>21</v>
      </c>
      <c r="C2" s="3" t="s">
        <v>100</v>
      </c>
      <c r="D2" s="3" t="s">
        <v>100</v>
      </c>
    </row>
    <row r="3" spans="1:4" ht="18">
      <c r="A3" s="2" t="s">
        <v>101</v>
      </c>
      <c r="B3" s="3" t="s">
        <v>102</v>
      </c>
      <c r="C3" s="3" t="s">
        <v>103</v>
      </c>
      <c r="D3" s="3" t="s">
        <v>103</v>
      </c>
    </row>
    <row r="4" spans="1:4" ht="54">
      <c r="A4" s="2" t="s">
        <v>104</v>
      </c>
      <c r="B4" s="3" t="s">
        <v>105</v>
      </c>
      <c r="C4" s="3" t="s">
        <v>106</v>
      </c>
      <c r="D4" s="3" t="s">
        <v>106</v>
      </c>
    </row>
    <row r="5" spans="1:4" ht="18">
      <c r="A5" s="2" t="s">
        <v>107</v>
      </c>
      <c r="B5" s="3" t="s">
        <v>108</v>
      </c>
      <c r="C5" s="3" t="s">
        <v>109</v>
      </c>
      <c r="D5" s="3" t="s">
        <v>109</v>
      </c>
    </row>
    <row r="6" spans="1:4" ht="18">
      <c r="A6" s="2" t="s">
        <v>2</v>
      </c>
      <c r="B6" s="3" t="s">
        <v>110</v>
      </c>
      <c r="C6" s="3" t="s">
        <v>111</v>
      </c>
      <c r="D6" s="3" t="s">
        <v>18</v>
      </c>
    </row>
    <row r="7" spans="1:4" ht="72">
      <c r="A7" s="2" t="s">
        <v>112</v>
      </c>
      <c r="B7" s="3" t="s">
        <v>113</v>
      </c>
      <c r="C7" s="3" t="s">
        <v>114</v>
      </c>
      <c r="D7" s="3" t="s">
        <v>115</v>
      </c>
    </row>
    <row r="8" spans="1:4" ht="54">
      <c r="A8" s="2" t="s">
        <v>3</v>
      </c>
      <c r="B8" s="3" t="s">
        <v>116</v>
      </c>
      <c r="C8" s="3" t="s">
        <v>117</v>
      </c>
      <c r="D8" s="3" t="s">
        <v>117</v>
      </c>
    </row>
    <row r="9" spans="1:4" ht="72">
      <c r="A9" s="2" t="s">
        <v>4</v>
      </c>
      <c r="B9" s="3" t="s">
        <v>118</v>
      </c>
      <c r="C9" s="3" t="s">
        <v>100</v>
      </c>
      <c r="D9" s="3" t="s">
        <v>119</v>
      </c>
    </row>
    <row r="10" spans="1:4" ht="36">
      <c r="A10" s="2" t="s">
        <v>5</v>
      </c>
      <c r="B10" s="3" t="s">
        <v>120</v>
      </c>
      <c r="C10" s="3" t="s">
        <v>100</v>
      </c>
      <c r="D10" s="3" t="s">
        <v>100</v>
      </c>
    </row>
    <row r="11" spans="1:4" ht="18">
      <c r="A11" s="2" t="s">
        <v>6</v>
      </c>
      <c r="B11" s="3" t="s">
        <v>121</v>
      </c>
      <c r="C11" s="3" t="s">
        <v>100</v>
      </c>
      <c r="D11" s="3" t="s">
        <v>100</v>
      </c>
    </row>
    <row r="12" spans="1:4" ht="18">
      <c r="A12" s="2" t="s">
        <v>8</v>
      </c>
      <c r="B12" s="3" t="s">
        <v>100</v>
      </c>
      <c r="C12" s="3" t="s">
        <v>100</v>
      </c>
      <c r="D12" s="3" t="s">
        <v>100</v>
      </c>
    </row>
    <row r="13" spans="1:4" ht="36">
      <c r="A13" s="2" t="s">
        <v>9</v>
      </c>
      <c r="B13" s="3" t="s">
        <v>122</v>
      </c>
      <c r="C13" s="3" t="s">
        <v>123</v>
      </c>
      <c r="D13" s="3" t="s">
        <v>123</v>
      </c>
    </row>
    <row r="14" spans="1:4" ht="18">
      <c r="A14" s="2" t="s">
        <v>10</v>
      </c>
      <c r="B14" s="3" t="s">
        <v>124</v>
      </c>
      <c r="C14" s="3" t="s">
        <v>125</v>
      </c>
      <c r="D14" s="3" t="s">
        <v>125</v>
      </c>
    </row>
    <row r="15" spans="1:4" ht="36">
      <c r="A15" s="2" t="s">
        <v>11</v>
      </c>
      <c r="B15" s="3" t="s">
        <v>126</v>
      </c>
      <c r="C15" s="3" t="s">
        <v>127</v>
      </c>
      <c r="D15" s="3" t="s">
        <v>127</v>
      </c>
    </row>
    <row r="16" spans="1:4" ht="54">
      <c r="A16" s="2" t="s">
        <v>12</v>
      </c>
      <c r="B16" s="3" t="s">
        <v>128</v>
      </c>
      <c r="C16" s="3" t="s">
        <v>129</v>
      </c>
      <c r="D16" s="3" t="s">
        <v>129</v>
      </c>
    </row>
    <row r="17" spans="1:4" ht="18">
      <c r="A17" s="2" t="s">
        <v>13</v>
      </c>
      <c r="B17" s="3" t="s">
        <v>100</v>
      </c>
      <c r="C17" s="3" t="s">
        <v>100</v>
      </c>
      <c r="D17" s="3" t="s">
        <v>100</v>
      </c>
    </row>
    <row r="18" spans="1:4" ht="36">
      <c r="A18" s="2" t="s">
        <v>14</v>
      </c>
      <c r="B18" s="3" t="s">
        <v>130</v>
      </c>
      <c r="C18" s="3" t="s">
        <v>131</v>
      </c>
      <c r="D18" s="3" t="s">
        <v>131</v>
      </c>
    </row>
    <row r="19" spans="1:4" ht="72">
      <c r="A19" s="2" t="s">
        <v>132</v>
      </c>
      <c r="B19" s="3" t="s">
        <v>133</v>
      </c>
      <c r="C19" s="3" t="s">
        <v>133</v>
      </c>
      <c r="D19" s="3" t="s">
        <v>133</v>
      </c>
    </row>
    <row r="20" spans="1:4" ht="18">
      <c r="A20" s="2" t="s">
        <v>16</v>
      </c>
      <c r="B20" s="3" t="s">
        <v>134</v>
      </c>
      <c r="C20" s="3" t="s">
        <v>135</v>
      </c>
      <c r="D20" s="3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5EC1E-342B-4A20-AEB3-BCE7AEEFE5EC}">
  <sheetPr codeName="Hoja7"/>
  <dimension ref="A1"/>
  <sheetViews>
    <sheetView workbookViewId="0">
      <selection activeCell="B1" sqref="B1"/>
    </sheetView>
  </sheetViews>
  <sheetFormatPr baseColWidth="10" defaultRowHeight="15"/>
  <cols>
    <col min="1" max="1" width="150.140625" customWidth="1"/>
  </cols>
  <sheetData>
    <row r="1" spans="1:1" ht="409.5">
      <c r="A1" s="4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COMPARADOR</vt:lpstr>
      <vt:lpstr>Caracteristicas</vt:lpstr>
      <vt:lpstr>CAM</vt:lpstr>
      <vt:lpstr>Imagen</vt:lpstr>
      <vt:lpstr>Imagen (2)</vt:lpstr>
      <vt:lpstr>Precio</vt:lpstr>
      <vt:lpstr>Hoja3</vt:lpstr>
      <vt:lpstr>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Ormeño</dc:creator>
  <cp:lastModifiedBy>nexxo Arona</cp:lastModifiedBy>
  <dcterms:created xsi:type="dcterms:W3CDTF">2025-09-03T14:32:17Z</dcterms:created>
  <dcterms:modified xsi:type="dcterms:W3CDTF">2026-04-23T23:26:02Z</dcterms:modified>
</cp:coreProperties>
</file>